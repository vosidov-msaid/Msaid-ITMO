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MO\msaid\Informatics\labs\lab5\"/>
    </mc:Choice>
  </mc:AlternateContent>
  <xr:revisionPtr revIDLastSave="0" documentId="13_ncr:1_{F40B3743-55ED-4A2E-94AB-177236956C26}" xr6:coauthVersionLast="47" xr6:coauthVersionMax="47" xr10:uidLastSave="{00000000-0000-0000-0000-000000000000}"/>
  <bookViews>
    <workbookView xWindow="-108" yWindow="-108" windowWidth="23256" windowHeight="12456" xr2:uid="{0DFA982F-AA92-4FF1-8E7E-11B45FACD42C}"/>
  </bookViews>
  <sheets>
    <sheet name="lab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5" i="1" l="1"/>
  <c r="Y65" i="1"/>
  <c r="AI23" i="1"/>
  <c r="I20" i="1" l="1"/>
  <c r="Y25" i="1" s="1"/>
  <c r="V25" i="1"/>
  <c r="S25" i="1"/>
  <c r="P25" i="1" l="1"/>
  <c r="P33" i="1"/>
  <c r="J33" i="1"/>
  <c r="F3" i="1"/>
  <c r="F4" i="1"/>
  <c r="D6" i="1"/>
  <c r="I6" i="1" s="1"/>
  <c r="W72" i="1"/>
  <c r="R72" i="1"/>
  <c r="M72" i="1"/>
  <c r="W64" i="1"/>
  <c r="R64" i="1"/>
  <c r="M64" i="1"/>
  <c r="W56" i="1"/>
  <c r="R56" i="1"/>
  <c r="M56" i="1"/>
  <c r="W48" i="1"/>
  <c r="R48" i="1"/>
  <c r="M48" i="1"/>
  <c r="W40" i="1"/>
  <c r="R40" i="1"/>
  <c r="M40" i="1"/>
  <c r="W32" i="1"/>
  <c r="R32" i="1"/>
  <c r="M32" i="1"/>
  <c r="M24" i="1"/>
  <c r="R24" i="1"/>
  <c r="W24" i="1"/>
  <c r="M7" i="1"/>
  <c r="M22" i="1" s="1"/>
  <c r="M23" i="1" s="1"/>
  <c r="R7" i="1"/>
  <c r="R22" i="1" s="1"/>
  <c r="R23" i="1" s="1"/>
  <c r="W7" i="1"/>
  <c r="W22" i="1" s="1"/>
  <c r="W23" i="1" s="1"/>
  <c r="M8" i="1"/>
  <c r="M70" i="1" s="1"/>
  <c r="M71" i="1" s="1"/>
  <c r="R8" i="1"/>
  <c r="R70" i="1" s="1"/>
  <c r="R71" i="1" s="1"/>
  <c r="W8" i="1"/>
  <c r="W70" i="1" s="1"/>
  <c r="W71" i="1" s="1"/>
  <c r="M9" i="1"/>
  <c r="R9" i="1"/>
  <c r="W9" i="1"/>
  <c r="M10" i="1"/>
  <c r="R10" i="1"/>
  <c r="W10" i="1"/>
  <c r="M11" i="1"/>
  <c r="R11" i="1"/>
  <c r="W11" i="1"/>
  <c r="M12" i="1"/>
  <c r="M38" i="1" s="1"/>
  <c r="M39" i="1" s="1"/>
  <c r="R12" i="1"/>
  <c r="R38" i="1" s="1"/>
  <c r="R39" i="1" s="1"/>
  <c r="W12" i="1"/>
  <c r="W45" i="1" s="1"/>
  <c r="M13" i="1"/>
  <c r="M53" i="1" s="1"/>
  <c r="R13" i="1"/>
  <c r="R46" i="1" s="1"/>
  <c r="W13" i="1"/>
  <c r="W46" i="1" s="1"/>
  <c r="M14" i="1"/>
  <c r="M54" i="1" s="1"/>
  <c r="M55" i="1" s="1"/>
  <c r="R14" i="1"/>
  <c r="R54" i="1" s="1"/>
  <c r="R55" i="1" s="1"/>
  <c r="W14" i="1"/>
  <c r="W54" i="1" s="1"/>
  <c r="W55" i="1" s="1"/>
  <c r="M15" i="1"/>
  <c r="R15" i="1"/>
  <c r="W15" i="1"/>
  <c r="M16" i="1"/>
  <c r="M69" i="1" s="1"/>
  <c r="R16" i="1"/>
  <c r="R69" i="1" s="1"/>
  <c r="W16" i="1"/>
  <c r="W69" i="1" s="1"/>
  <c r="M17" i="1"/>
  <c r="R17" i="1"/>
  <c r="W17" i="1"/>
  <c r="M6" i="1"/>
  <c r="M21" i="1" s="1"/>
  <c r="R6" i="1"/>
  <c r="R21" i="1" s="1"/>
  <c r="W6" i="1"/>
  <c r="W21" i="1" s="1"/>
  <c r="D10" i="1"/>
  <c r="D16" i="1" s="1"/>
  <c r="V16" i="1" s="1"/>
  <c r="V69" i="1" s="1"/>
  <c r="D9" i="1"/>
  <c r="D15" i="1" s="1"/>
  <c r="I15" i="1" s="1"/>
  <c r="D8" i="1"/>
  <c r="D14" i="1" s="1"/>
  <c r="L14" i="1" s="1"/>
  <c r="L54" i="1" s="1"/>
  <c r="D7" i="1"/>
  <c r="D13" i="1" s="1"/>
  <c r="K13" i="1" s="1"/>
  <c r="K53" i="1" s="1"/>
  <c r="AC7" i="1" l="1"/>
  <c r="I10" i="1"/>
  <c r="AC13" i="1"/>
  <c r="AC6" i="1"/>
  <c r="AC16" i="1"/>
  <c r="AC15" i="1"/>
  <c r="AC14" i="1"/>
  <c r="AC10" i="1"/>
  <c r="AC9" i="1"/>
  <c r="AC8" i="1"/>
  <c r="R37" i="1"/>
  <c r="D12" i="1"/>
  <c r="AC12" i="1" s="1"/>
  <c r="AA16" i="1"/>
  <c r="AA69" i="1" s="1"/>
  <c r="I16" i="1"/>
  <c r="I69" i="1" s="1"/>
  <c r="W29" i="1"/>
  <c r="M29" i="1"/>
  <c r="R45" i="1"/>
  <c r="R30" i="1"/>
  <c r="R31" i="1" s="1"/>
  <c r="K46" i="1"/>
  <c r="AG53" i="1"/>
  <c r="W62" i="1"/>
  <c r="W63" i="1" s="1"/>
  <c r="W37" i="1"/>
  <c r="M62" i="1"/>
  <c r="M63" i="1" s="1"/>
  <c r="AG37" i="1"/>
  <c r="R61" i="1"/>
  <c r="W30" i="1"/>
  <c r="W31" i="1" s="1"/>
  <c r="AG54" i="1"/>
  <c r="M46" i="1"/>
  <c r="AG30" i="1"/>
  <c r="W53" i="1"/>
  <c r="AG69" i="1"/>
  <c r="W38" i="1"/>
  <c r="W39" i="1" s="1"/>
  <c r="AG61" i="1"/>
  <c r="M45" i="1"/>
  <c r="AG62" i="1"/>
  <c r="M30" i="1"/>
  <c r="M31" i="1" s="1"/>
  <c r="R62" i="1"/>
  <c r="R63" i="1" s="1"/>
  <c r="AG46" i="1"/>
  <c r="R53" i="1"/>
  <c r="M61" i="1"/>
  <c r="M37" i="1"/>
  <c r="K62" i="1"/>
  <c r="R29" i="1"/>
  <c r="W61" i="1"/>
  <c r="AG70" i="1"/>
  <c r="AG29" i="1"/>
  <c r="I13" i="1"/>
  <c r="I7" i="1"/>
  <c r="I14" i="1"/>
  <c r="I54" i="1" s="1"/>
  <c r="I9" i="1"/>
  <c r="I8" i="1"/>
  <c r="L13" i="1"/>
  <c r="O13" i="1"/>
  <c r="Q13" i="1"/>
  <c r="N7" i="1"/>
  <c r="L7" i="1"/>
  <c r="O7" i="1"/>
  <c r="J13" i="1"/>
  <c r="K7" i="1"/>
  <c r="AA7" i="1"/>
  <c r="Y13" i="1"/>
  <c r="X7" i="1"/>
  <c r="Z7" i="1"/>
  <c r="Z13" i="1"/>
  <c r="Y7" i="1"/>
  <c r="X13" i="1"/>
  <c r="U7" i="1"/>
  <c r="U13" i="1"/>
  <c r="T7" i="1"/>
  <c r="J7" i="1"/>
  <c r="V7" i="1"/>
  <c r="V13" i="1"/>
  <c r="T13" i="1"/>
  <c r="S7" i="1"/>
  <c r="S13" i="1"/>
  <c r="Q7" i="1"/>
  <c r="P13" i="1"/>
  <c r="AG22" i="1"/>
  <c r="N13" i="1"/>
  <c r="P7" i="1"/>
  <c r="AA13" i="1"/>
  <c r="T6" i="1"/>
  <c r="U16" i="1"/>
  <c r="U69" i="1" s="1"/>
  <c r="X6" i="1"/>
  <c r="V6" i="1"/>
  <c r="U6" i="1"/>
  <c r="K16" i="1"/>
  <c r="K69" i="1" s="1"/>
  <c r="Q14" i="1"/>
  <c r="Q54" i="1" s="1"/>
  <c r="L10" i="1"/>
  <c r="Y9" i="1"/>
  <c r="Z16" i="1"/>
  <c r="Z69" i="1" s="1"/>
  <c r="J15" i="1"/>
  <c r="K10" i="1"/>
  <c r="P9" i="1"/>
  <c r="T16" i="1"/>
  <c r="T69" i="1" s="1"/>
  <c r="AG21" i="1"/>
  <c r="S6" i="1"/>
  <c r="O6" i="1"/>
  <c r="L16" i="1"/>
  <c r="L69" i="1" s="1"/>
  <c r="O9" i="1"/>
  <c r="P6" i="1"/>
  <c r="J16" i="1"/>
  <c r="J69" i="1" s="1"/>
  <c r="L6" i="1"/>
  <c r="X15" i="1"/>
  <c r="N6" i="1"/>
  <c r="K6" i="1"/>
  <c r="J6" i="1"/>
  <c r="Z6" i="1"/>
  <c r="AA6" i="1"/>
  <c r="O15" i="1"/>
  <c r="V10" i="1"/>
  <c r="Y6" i="1"/>
  <c r="N15" i="1"/>
  <c r="S10" i="1"/>
  <c r="S16" i="1"/>
  <c r="S69" i="1" s="1"/>
  <c r="V15" i="1"/>
  <c r="Y14" i="1"/>
  <c r="Y54" i="1" s="1"/>
  <c r="U10" i="1"/>
  <c r="Y8" i="1"/>
  <c r="Q16" i="1"/>
  <c r="Q69" i="1" s="1"/>
  <c r="T15" i="1"/>
  <c r="U9" i="1"/>
  <c r="AA8" i="1"/>
  <c r="X9" i="1"/>
  <c r="S15" i="1"/>
  <c r="Q10" i="1"/>
  <c r="O16" i="1"/>
  <c r="O69" i="1" s="1"/>
  <c r="U14" i="1"/>
  <c r="U54" i="1" s="1"/>
  <c r="P10" i="1"/>
  <c r="S9" i="1"/>
  <c r="U8" i="1"/>
  <c r="T10" i="1"/>
  <c r="J14" i="1"/>
  <c r="J54" i="1" s="1"/>
  <c r="Z8" i="1"/>
  <c r="U15" i="1"/>
  <c r="X14" i="1"/>
  <c r="X54" i="1" s="1"/>
  <c r="T9" i="1"/>
  <c r="N16" i="1"/>
  <c r="N69" i="1" s="1"/>
  <c r="Q15" i="1"/>
  <c r="T14" i="1"/>
  <c r="T54" i="1" s="1"/>
  <c r="O10" i="1"/>
  <c r="T8" i="1"/>
  <c r="AA14" i="1"/>
  <c r="AA54" i="1" s="1"/>
  <c r="K14" i="1"/>
  <c r="K54" i="1" s="1"/>
  <c r="K8" i="1"/>
  <c r="Z14" i="1"/>
  <c r="Z54" i="1" s="1"/>
  <c r="J8" i="1"/>
  <c r="V9" i="1"/>
  <c r="X8" i="1"/>
  <c r="P16" i="1"/>
  <c r="P69" i="1" s="1"/>
  <c r="V14" i="1"/>
  <c r="V54" i="1" s="1"/>
  <c r="V8" i="1"/>
  <c r="P15" i="1"/>
  <c r="S14" i="1"/>
  <c r="S54" i="1" s="1"/>
  <c r="N10" i="1"/>
  <c r="Q9" i="1"/>
  <c r="S8" i="1"/>
  <c r="Q8" i="1"/>
  <c r="P14" i="1"/>
  <c r="P54" i="1" s="1"/>
  <c r="N9" i="1"/>
  <c r="P8" i="1"/>
  <c r="Y16" i="1"/>
  <c r="Y69" i="1" s="1"/>
  <c r="L15" i="1"/>
  <c r="O14" i="1"/>
  <c r="O54" i="1" s="1"/>
  <c r="AA10" i="1"/>
  <c r="J10" i="1"/>
  <c r="O8" i="1"/>
  <c r="X16" i="1"/>
  <c r="X69" i="1" s="1"/>
  <c r="AA15" i="1"/>
  <c r="K15" i="1"/>
  <c r="N14" i="1"/>
  <c r="N54" i="1" s="1"/>
  <c r="Z10" i="1"/>
  <c r="L9" i="1"/>
  <c r="N8" i="1"/>
  <c r="Z15" i="1"/>
  <c r="Y10" i="1"/>
  <c r="AA9" i="1"/>
  <c r="K9" i="1"/>
  <c r="Q6" i="1"/>
  <c r="Y15" i="1"/>
  <c r="X10" i="1"/>
  <c r="Z9" i="1"/>
  <c r="J9" i="1"/>
  <c r="L8" i="1"/>
  <c r="D11" i="1"/>
  <c r="AC11" i="1" s="1"/>
  <c r="X12" i="1" l="1"/>
  <c r="X38" i="1" s="1"/>
  <c r="Q12" i="1"/>
  <c r="Q38" i="1" s="1"/>
  <c r="Z12" i="1"/>
  <c r="Z38" i="1" s="1"/>
  <c r="N12" i="1"/>
  <c r="N45" i="1" s="1"/>
  <c r="O12" i="1"/>
  <c r="O45" i="1" s="1"/>
  <c r="AG63" i="1"/>
  <c r="P12" i="1"/>
  <c r="P38" i="1" s="1"/>
  <c r="AG38" i="1"/>
  <c r="AG39" i="1" s="1"/>
  <c r="T12" i="1"/>
  <c r="T45" i="1" s="1"/>
  <c r="I12" i="1"/>
  <c r="I45" i="1" s="1"/>
  <c r="Y12" i="1"/>
  <c r="Y45" i="1" s="1"/>
  <c r="S12" i="1"/>
  <c r="U12" i="1"/>
  <c r="U45" i="1" s="1"/>
  <c r="L12" i="1"/>
  <c r="L38" i="1" s="1"/>
  <c r="J12" i="1"/>
  <c r="J38" i="1" s="1"/>
  <c r="K12" i="1"/>
  <c r="K38" i="1" s="1"/>
  <c r="AG45" i="1"/>
  <c r="AG47" i="1" s="1"/>
  <c r="AA12" i="1"/>
  <c r="AA38" i="1" s="1"/>
  <c r="V12" i="1"/>
  <c r="V45" i="1" s="1"/>
  <c r="I11" i="1"/>
  <c r="AG71" i="1"/>
  <c r="AG55" i="1"/>
  <c r="P70" i="1"/>
  <c r="P30" i="1"/>
  <c r="K70" i="1"/>
  <c r="K30" i="1"/>
  <c r="P37" i="1"/>
  <c r="P29" i="1"/>
  <c r="Z62" i="1"/>
  <c r="Z46" i="1"/>
  <c r="Z53" i="1"/>
  <c r="L21" i="1"/>
  <c r="L61" i="1"/>
  <c r="N53" i="1"/>
  <c r="N62" i="1"/>
  <c r="N46" i="1"/>
  <c r="Z37" i="1"/>
  <c r="Z29" i="1"/>
  <c r="L70" i="1"/>
  <c r="L30" i="1"/>
  <c r="I21" i="1"/>
  <c r="I61" i="1"/>
  <c r="T30" i="1"/>
  <c r="T70" i="1"/>
  <c r="P53" i="1"/>
  <c r="P62" i="1"/>
  <c r="P46" i="1"/>
  <c r="Y46" i="1"/>
  <c r="Y53" i="1"/>
  <c r="Y62" i="1"/>
  <c r="S70" i="1"/>
  <c r="S30" i="1"/>
  <c r="P21" i="1"/>
  <c r="P61" i="1"/>
  <c r="Q37" i="1"/>
  <c r="Q29" i="1"/>
  <c r="AA37" i="1"/>
  <c r="AA29" i="1"/>
  <c r="I37" i="1"/>
  <c r="I29" i="1"/>
  <c r="X37" i="1"/>
  <c r="X29" i="1"/>
  <c r="N70" i="1"/>
  <c r="N30" i="1"/>
  <c r="S29" i="1"/>
  <c r="S37" i="1"/>
  <c r="J62" i="1"/>
  <c r="J46" i="1"/>
  <c r="J53" i="1"/>
  <c r="K37" i="1"/>
  <c r="K29" i="1"/>
  <c r="AA70" i="1"/>
  <c r="AA71" i="1" s="1"/>
  <c r="AA30" i="1"/>
  <c r="AA21" i="1"/>
  <c r="AA61" i="1"/>
  <c r="Z21" i="1"/>
  <c r="Z61" i="1"/>
  <c r="T46" i="1"/>
  <c r="T53" i="1"/>
  <c r="T62" i="1"/>
  <c r="O37" i="1"/>
  <c r="O29" i="1"/>
  <c r="Y21" i="1"/>
  <c r="Y61" i="1"/>
  <c r="Q30" i="1"/>
  <c r="Q70" i="1"/>
  <c r="S46" i="1"/>
  <c r="S53" i="1"/>
  <c r="S62" i="1"/>
  <c r="I53" i="1"/>
  <c r="I62" i="1"/>
  <c r="I46" i="1"/>
  <c r="U21" i="1"/>
  <c r="U61" i="1"/>
  <c r="V46" i="1"/>
  <c r="V53" i="1"/>
  <c r="V62" i="1"/>
  <c r="L37" i="1"/>
  <c r="L29" i="1"/>
  <c r="V30" i="1"/>
  <c r="V70" i="1"/>
  <c r="V21" i="1"/>
  <c r="V61" i="1"/>
  <c r="V37" i="1"/>
  <c r="V29" i="1"/>
  <c r="N37" i="1"/>
  <c r="N29" i="1"/>
  <c r="O30" i="1"/>
  <c r="O70" i="1"/>
  <c r="Y70" i="1"/>
  <c r="Y30" i="1"/>
  <c r="J21" i="1"/>
  <c r="J61" i="1"/>
  <c r="O21" i="1"/>
  <c r="O61" i="1"/>
  <c r="X21" i="1"/>
  <c r="X61" i="1"/>
  <c r="J37" i="1"/>
  <c r="J29" i="1"/>
  <c r="Q46" i="1"/>
  <c r="Q53" i="1"/>
  <c r="Q62" i="1"/>
  <c r="Z70" i="1"/>
  <c r="Z30" i="1"/>
  <c r="K21" i="1"/>
  <c r="K61" i="1"/>
  <c r="S21" i="1"/>
  <c r="S61" i="1"/>
  <c r="T29" i="1"/>
  <c r="T37" i="1"/>
  <c r="O53" i="1"/>
  <c r="O62" i="1"/>
  <c r="O46" i="1"/>
  <c r="X70" i="1"/>
  <c r="X30" i="1"/>
  <c r="U46" i="1"/>
  <c r="U53" i="1"/>
  <c r="U62" i="1"/>
  <c r="L53" i="1"/>
  <c r="L62" i="1"/>
  <c r="L46" i="1"/>
  <c r="N21" i="1"/>
  <c r="N61" i="1"/>
  <c r="U37" i="1"/>
  <c r="U29" i="1"/>
  <c r="I70" i="1"/>
  <c r="I30" i="1"/>
  <c r="Q21" i="1"/>
  <c r="Q61" i="1"/>
  <c r="J70" i="1"/>
  <c r="J30" i="1"/>
  <c r="U30" i="1"/>
  <c r="U70" i="1"/>
  <c r="T21" i="1"/>
  <c r="T61" i="1"/>
  <c r="X46" i="1"/>
  <c r="X53" i="1"/>
  <c r="X62" i="1"/>
  <c r="AA53" i="1"/>
  <c r="AA52" i="1" s="1"/>
  <c r="AA62" i="1"/>
  <c r="AA46" i="1"/>
  <c r="Y37" i="1"/>
  <c r="Y29" i="1"/>
  <c r="AG31" i="1"/>
  <c r="I22" i="1"/>
  <c r="J22" i="1"/>
  <c r="L22" i="1"/>
  <c r="U22" i="1"/>
  <c r="O22" i="1"/>
  <c r="Y22" i="1"/>
  <c r="Z22" i="1"/>
  <c r="X22" i="1"/>
  <c r="Q22" i="1"/>
  <c r="N22" i="1"/>
  <c r="P22" i="1"/>
  <c r="AA22" i="1"/>
  <c r="S22" i="1"/>
  <c r="K22" i="1"/>
  <c r="V22" i="1"/>
  <c r="T22" i="1"/>
  <c r="AG23" i="1"/>
  <c r="D17" i="1"/>
  <c r="AC17" i="1" s="1"/>
  <c r="U11" i="1"/>
  <c r="V11" i="1"/>
  <c r="X11" i="1"/>
  <c r="Y11" i="1"/>
  <c r="J11" i="1"/>
  <c r="L11" i="1"/>
  <c r="O11" i="1"/>
  <c r="Q11" i="1"/>
  <c r="T11" i="1"/>
  <c r="Z11" i="1"/>
  <c r="S11" i="1"/>
  <c r="AA11" i="1"/>
  <c r="N11" i="1"/>
  <c r="K11" i="1"/>
  <c r="P11" i="1"/>
  <c r="X45" i="1" l="1"/>
  <c r="AA31" i="1"/>
  <c r="P45" i="1"/>
  <c r="O38" i="1"/>
  <c r="Y38" i="1"/>
  <c r="N38" i="1"/>
  <c r="Z45" i="1"/>
  <c r="Q45" i="1"/>
  <c r="I38" i="1"/>
  <c r="L45" i="1"/>
  <c r="U38" i="1"/>
  <c r="Z55" i="1"/>
  <c r="AA36" i="1"/>
  <c r="Z39" i="1" s="1"/>
  <c r="AA45" i="1"/>
  <c r="AA44" i="1" s="1"/>
  <c r="T38" i="1"/>
  <c r="K45" i="1"/>
  <c r="S45" i="1"/>
  <c r="S38" i="1"/>
  <c r="V38" i="1"/>
  <c r="J45" i="1"/>
  <c r="I17" i="1"/>
  <c r="AA60" i="1"/>
  <c r="Z63" i="1" s="1"/>
  <c r="AA20" i="1"/>
  <c r="Z20" i="1" s="1"/>
  <c r="AA23" i="1"/>
  <c r="AA39" i="1"/>
  <c r="AA63" i="1"/>
  <c r="AA28" i="1"/>
  <c r="Z28" i="1" s="1"/>
  <c r="Y28" i="1" s="1"/>
  <c r="Z52" i="1"/>
  <c r="Y52" i="1" s="1"/>
  <c r="AA68" i="1"/>
  <c r="Z68" i="1" s="1"/>
  <c r="Y68" i="1" s="1"/>
  <c r="X68" i="1" s="1"/>
  <c r="P73" i="1" s="1"/>
  <c r="AA55" i="1"/>
  <c r="S17" i="1"/>
  <c r="T17" i="1"/>
  <c r="U17" i="1"/>
  <c r="V17" i="1"/>
  <c r="X17" i="1"/>
  <c r="J17" i="1"/>
  <c r="Z17" i="1"/>
  <c r="O17" i="1"/>
  <c r="Q17" i="1"/>
  <c r="K17" i="1"/>
  <c r="AA17" i="1"/>
  <c r="L17" i="1"/>
  <c r="N17" i="1"/>
  <c r="Y17" i="1"/>
  <c r="P17" i="1"/>
  <c r="Z47" i="1" l="1"/>
  <c r="AA47" i="1"/>
  <c r="Y55" i="1"/>
  <c r="Z36" i="1"/>
  <c r="Y36" i="1" s="1"/>
  <c r="X39" i="1" s="1"/>
  <c r="Z60" i="1"/>
  <c r="Y63" i="1" s="1"/>
  <c r="Z23" i="1"/>
  <c r="Z44" i="1"/>
  <c r="Y47" i="1" s="1"/>
  <c r="Z71" i="1"/>
  <c r="X55" i="1"/>
  <c r="X52" i="1"/>
  <c r="X31" i="1"/>
  <c r="X28" i="1"/>
  <c r="Z31" i="1"/>
  <c r="Y71" i="1"/>
  <c r="W68" i="1"/>
  <c r="X71" i="1"/>
  <c r="Y31" i="1"/>
  <c r="W47" i="1"/>
  <c r="Y20" i="1"/>
  <c r="Y23" i="1"/>
  <c r="Y39" i="1" l="1"/>
  <c r="X36" i="1"/>
  <c r="W36" i="1" s="1"/>
  <c r="Y60" i="1"/>
  <c r="X63" i="1" s="1"/>
  <c r="Y44" i="1"/>
  <c r="X44" i="1" s="1"/>
  <c r="V68" i="1"/>
  <c r="V71" i="1"/>
  <c r="W28" i="1"/>
  <c r="W52" i="1"/>
  <c r="P57" i="1"/>
  <c r="X23" i="1"/>
  <c r="X20" i="1"/>
  <c r="P41" i="1" l="1"/>
  <c r="X60" i="1"/>
  <c r="P65" i="1" s="1"/>
  <c r="X47" i="1"/>
  <c r="V36" i="1"/>
  <c r="V39" i="1"/>
  <c r="U68" i="1"/>
  <c r="U71" i="1"/>
  <c r="V52" i="1"/>
  <c r="V55" i="1"/>
  <c r="V28" i="1"/>
  <c r="V31" i="1"/>
  <c r="P49" i="1"/>
  <c r="W44" i="1"/>
  <c r="W20" i="1"/>
  <c r="W60" i="1" l="1"/>
  <c r="V60" i="1" s="1"/>
  <c r="U39" i="1"/>
  <c r="U36" i="1"/>
  <c r="V44" i="1"/>
  <c r="V47" i="1"/>
  <c r="U28" i="1"/>
  <c r="U31" i="1"/>
  <c r="U55" i="1"/>
  <c r="U52" i="1"/>
  <c r="T71" i="1"/>
  <c r="T68" i="1"/>
  <c r="V23" i="1"/>
  <c r="V20" i="1"/>
  <c r="V63" i="1" l="1"/>
  <c r="T39" i="1"/>
  <c r="T36" i="1"/>
  <c r="S71" i="1"/>
  <c r="M73" i="1" s="1"/>
  <c r="S68" i="1"/>
  <c r="R68" i="1" s="1"/>
  <c r="T28" i="1"/>
  <c r="T31" i="1"/>
  <c r="U63" i="1"/>
  <c r="U60" i="1"/>
  <c r="T52" i="1"/>
  <c r="T55" i="1"/>
  <c r="U44" i="1"/>
  <c r="U47" i="1"/>
  <c r="U20" i="1"/>
  <c r="U23" i="1"/>
  <c r="S39" i="1" l="1"/>
  <c r="M41" i="1" s="1"/>
  <c r="S36" i="1"/>
  <c r="R36" i="1" s="1"/>
  <c r="T47" i="1"/>
  <c r="T44" i="1"/>
  <c r="Q68" i="1"/>
  <c r="Q71" i="1"/>
  <c r="S55" i="1"/>
  <c r="M57" i="1" s="1"/>
  <c r="S52" i="1"/>
  <c r="R52" i="1" s="1"/>
  <c r="T63" i="1"/>
  <c r="T60" i="1"/>
  <c r="S28" i="1"/>
  <c r="R28" i="1" s="1"/>
  <c r="S31" i="1"/>
  <c r="M33" i="1" s="1"/>
  <c r="R47" i="1"/>
  <c r="T20" i="1"/>
  <c r="T23" i="1"/>
  <c r="Q39" i="1" l="1"/>
  <c r="Q36" i="1"/>
  <c r="S63" i="1"/>
  <c r="M65" i="1" s="1"/>
  <c r="S60" i="1"/>
  <c r="R60" i="1" s="1"/>
  <c r="Q52" i="1"/>
  <c r="Q55" i="1"/>
  <c r="Q31" i="1"/>
  <c r="Q28" i="1"/>
  <c r="S47" i="1"/>
  <c r="M49" i="1" s="1"/>
  <c r="S44" i="1"/>
  <c r="R44" i="1" s="1"/>
  <c r="Q44" i="1" s="1"/>
  <c r="P68" i="1"/>
  <c r="P71" i="1"/>
  <c r="S20" i="1"/>
  <c r="R20" i="1" s="1"/>
  <c r="S23" i="1"/>
  <c r="M25" i="1" s="1"/>
  <c r="P36" i="1" l="1"/>
  <c r="P39" i="1"/>
  <c r="O71" i="1"/>
  <c r="O68" i="1"/>
  <c r="Q47" i="1"/>
  <c r="Q60" i="1"/>
  <c r="Q63" i="1"/>
  <c r="P31" i="1"/>
  <c r="P28" i="1"/>
  <c r="P52" i="1"/>
  <c r="P55" i="1"/>
  <c r="P44" i="1"/>
  <c r="P47" i="1"/>
  <c r="Q20" i="1"/>
  <c r="Q23" i="1"/>
  <c r="O36" i="1" l="1"/>
  <c r="O39" i="1"/>
  <c r="O28" i="1"/>
  <c r="O31" i="1"/>
  <c r="O52" i="1"/>
  <c r="O55" i="1"/>
  <c r="P60" i="1"/>
  <c r="P63" i="1"/>
  <c r="N68" i="1"/>
  <c r="M68" i="1" s="1"/>
  <c r="N71" i="1"/>
  <c r="O44" i="1"/>
  <c r="O47" i="1"/>
  <c r="P20" i="1"/>
  <c r="P23" i="1"/>
  <c r="N39" i="1" l="1"/>
  <c r="N36" i="1"/>
  <c r="M36" i="1" s="1"/>
  <c r="O60" i="1"/>
  <c r="O63" i="1"/>
  <c r="L68" i="1"/>
  <c r="L71" i="1"/>
  <c r="N52" i="1"/>
  <c r="M52" i="1" s="1"/>
  <c r="N55" i="1"/>
  <c r="N31" i="1"/>
  <c r="N28" i="1"/>
  <c r="M28" i="1" s="1"/>
  <c r="N44" i="1"/>
  <c r="N47" i="1"/>
  <c r="O20" i="1"/>
  <c r="O23" i="1"/>
  <c r="L39" i="1" l="1"/>
  <c r="L36" i="1"/>
  <c r="K71" i="1"/>
  <c r="K68" i="1"/>
  <c r="L31" i="1"/>
  <c r="L28" i="1"/>
  <c r="L55" i="1"/>
  <c r="L52" i="1"/>
  <c r="N63" i="1"/>
  <c r="N60" i="1"/>
  <c r="M60" i="1" s="1"/>
  <c r="M44" i="1"/>
  <c r="M47" i="1"/>
  <c r="N20" i="1"/>
  <c r="M20" i="1" s="1"/>
  <c r="N23" i="1"/>
  <c r="K36" i="1" l="1"/>
  <c r="K39" i="1"/>
  <c r="K52" i="1"/>
  <c r="K55" i="1"/>
  <c r="L63" i="1"/>
  <c r="L60" i="1"/>
  <c r="J68" i="1"/>
  <c r="J71" i="1"/>
  <c r="K28" i="1"/>
  <c r="K31" i="1"/>
  <c r="L44" i="1"/>
  <c r="L47" i="1"/>
  <c r="L20" i="1"/>
  <c r="L23" i="1"/>
  <c r="J36" i="1" l="1"/>
  <c r="I36" i="1" s="1"/>
  <c r="J39" i="1"/>
  <c r="J31" i="1"/>
  <c r="J28" i="1"/>
  <c r="I71" i="1"/>
  <c r="I68" i="1"/>
  <c r="J73" i="1" s="1"/>
  <c r="K63" i="1"/>
  <c r="K60" i="1"/>
  <c r="J55" i="1"/>
  <c r="J52" i="1"/>
  <c r="K44" i="1"/>
  <c r="K47" i="1"/>
  <c r="K23" i="1"/>
  <c r="K20" i="1"/>
  <c r="Y73" i="1" l="1"/>
  <c r="I39" i="1"/>
  <c r="I52" i="1"/>
  <c r="I55" i="1"/>
  <c r="J63" i="1"/>
  <c r="J60" i="1"/>
  <c r="Z72" i="1"/>
  <c r="J72" i="1"/>
  <c r="Y72" i="1"/>
  <c r="V72" i="1"/>
  <c r="Q72" i="1"/>
  <c r="P72" i="1"/>
  <c r="O72" i="1"/>
  <c r="I72" i="1"/>
  <c r="X72" i="1"/>
  <c r="T72" i="1"/>
  <c r="U72" i="1"/>
  <c r="S72" i="1"/>
  <c r="K72" i="1"/>
  <c r="AA72" i="1"/>
  <c r="V73" i="1"/>
  <c r="N72" i="1"/>
  <c r="L72" i="1"/>
  <c r="I28" i="1"/>
  <c r="I31" i="1"/>
  <c r="J44" i="1"/>
  <c r="J47" i="1"/>
  <c r="J20" i="1"/>
  <c r="J23" i="1"/>
  <c r="Y33" i="1" l="1"/>
  <c r="AC71" i="1"/>
  <c r="P40" i="1"/>
  <c r="X40" i="1"/>
  <c r="V40" i="1"/>
  <c r="O40" i="1"/>
  <c r="AA40" i="1"/>
  <c r="S40" i="1"/>
  <c r="J40" i="1"/>
  <c r="T40" i="1"/>
  <c r="I40" i="1"/>
  <c r="V41" i="1"/>
  <c r="Y40" i="1"/>
  <c r="Q40" i="1"/>
  <c r="K40" i="1"/>
  <c r="L40" i="1"/>
  <c r="Z40" i="1"/>
  <c r="N40" i="1"/>
  <c r="U40" i="1"/>
  <c r="J41" i="1"/>
  <c r="Y41" i="1"/>
  <c r="I63" i="1"/>
  <c r="I60" i="1"/>
  <c r="Q32" i="1"/>
  <c r="K32" i="1"/>
  <c r="AA32" i="1"/>
  <c r="J32" i="1"/>
  <c r="Z32" i="1"/>
  <c r="I32" i="1"/>
  <c r="Y32" i="1"/>
  <c r="X32" i="1"/>
  <c r="P32" i="1"/>
  <c r="V32" i="1"/>
  <c r="U32" i="1"/>
  <c r="T32" i="1"/>
  <c r="N32" i="1"/>
  <c r="S32" i="1"/>
  <c r="O32" i="1"/>
  <c r="L32" i="1"/>
  <c r="V33" i="1"/>
  <c r="J56" i="1"/>
  <c r="V56" i="1"/>
  <c r="Z56" i="1"/>
  <c r="N56" i="1"/>
  <c r="L56" i="1"/>
  <c r="K56" i="1"/>
  <c r="T56" i="1"/>
  <c r="V57" i="1"/>
  <c r="AA56" i="1"/>
  <c r="Y56" i="1"/>
  <c r="I56" i="1"/>
  <c r="X56" i="1"/>
  <c r="S56" i="1"/>
  <c r="P56" i="1"/>
  <c r="Q56" i="1"/>
  <c r="U56" i="1"/>
  <c r="O56" i="1"/>
  <c r="J57" i="1"/>
  <c r="Y57" i="1"/>
  <c r="I47" i="1"/>
  <c r="I44" i="1"/>
  <c r="J49" i="1" s="1"/>
  <c r="I23" i="1"/>
  <c r="AI71" i="1" l="1"/>
  <c r="S73" i="1"/>
  <c r="AC55" i="1"/>
  <c r="S57" i="1" s="1"/>
  <c r="AC31" i="1"/>
  <c r="S33" i="1" s="1"/>
  <c r="AC39" i="1"/>
  <c r="X24" i="1"/>
  <c r="Y24" i="1"/>
  <c r="K24" i="1"/>
  <c r="AA24" i="1"/>
  <c r="L24" i="1"/>
  <c r="I24" i="1"/>
  <c r="O24" i="1"/>
  <c r="N24" i="1"/>
  <c r="P24" i="1"/>
  <c r="Q24" i="1"/>
  <c r="U24" i="1"/>
  <c r="Z24" i="1"/>
  <c r="S24" i="1"/>
  <c r="T24" i="1"/>
  <c r="V24" i="1"/>
  <c r="J24" i="1"/>
  <c r="J65" i="1"/>
  <c r="L64" i="1"/>
  <c r="AA64" i="1"/>
  <c r="I64" i="1"/>
  <c r="X64" i="1"/>
  <c r="O64" i="1"/>
  <c r="K64" i="1"/>
  <c r="Z64" i="1"/>
  <c r="S64" i="1"/>
  <c r="V64" i="1"/>
  <c r="J64" i="1"/>
  <c r="Y64" i="1"/>
  <c r="Q64" i="1"/>
  <c r="V65" i="1"/>
  <c r="U64" i="1"/>
  <c r="P64" i="1"/>
  <c r="T64" i="1"/>
  <c r="N64" i="1"/>
  <c r="Y49" i="1"/>
  <c r="V49" i="1"/>
  <c r="P48" i="1"/>
  <c r="O48" i="1"/>
  <c r="N48" i="1"/>
  <c r="AA48" i="1"/>
  <c r="Q48" i="1"/>
  <c r="L48" i="1"/>
  <c r="K48" i="1"/>
  <c r="Z48" i="1"/>
  <c r="J48" i="1"/>
  <c r="Y48" i="1"/>
  <c r="I48" i="1"/>
  <c r="X48" i="1"/>
  <c r="T48" i="1"/>
  <c r="S48" i="1"/>
  <c r="V48" i="1"/>
  <c r="U48" i="1"/>
  <c r="AI55" i="1" l="1"/>
  <c r="AC63" i="1"/>
  <c r="AC47" i="1"/>
  <c r="S49" i="1" s="1"/>
  <c r="S41" i="1"/>
  <c r="AI39" i="1"/>
  <c r="AC23" i="1"/>
  <c r="AI47" i="1" l="1"/>
  <c r="S65" i="1"/>
  <c r="AI63" i="1"/>
  <c r="AI31" i="1"/>
</calcChain>
</file>

<file path=xl/sharedStrings.xml><?xml version="1.0" encoding="utf-8"?>
<sst xmlns="http://schemas.openxmlformats.org/spreadsheetml/2006/main" count="210" uniqueCount="78">
  <si>
    <t xml:space="preserve">A = </t>
  </si>
  <si>
    <t xml:space="preserve">C = </t>
  </si>
  <si>
    <t xml:space="preserve">A + C = </t>
  </si>
  <si>
    <t xml:space="preserve">A + C + C = </t>
  </si>
  <si>
    <t xml:space="preserve">C - A = </t>
  </si>
  <si>
    <t>(2)</t>
  </si>
  <si>
    <t>Перенос</t>
  </si>
  <si>
    <t>(10)</t>
  </si>
  <si>
    <t>(2)                 =</t>
  </si>
  <si>
    <t>Результат</t>
  </si>
  <si>
    <t>Перевод из Доп. Кода</t>
  </si>
  <si>
    <t>CF=</t>
  </si>
  <si>
    <t>PF=</t>
  </si>
  <si>
    <t>AF=</t>
  </si>
  <si>
    <t>ZF=</t>
  </si>
  <si>
    <t>OF=</t>
  </si>
  <si>
    <t>SF=</t>
  </si>
  <si>
    <t>ОДЗ:</t>
  </si>
  <si>
    <t>В ходе операции сложения положительных чисел получен отрицательный результат, что является признаком переполнения (Флаг OF)</t>
  </si>
  <si>
    <t>В ходе операции сложения двух неотрицательных чисел был получен корректный результат</t>
  </si>
  <si>
    <t>В ходе операции сложения неотрицательного и отрицательного чисел был получен корректный результат. При том перенос за разрядную сетку не учитывается</t>
  </si>
  <si>
    <t>В ходе операции сложения двух отрицательных чисел получен положительный результат, что являвется признаком переполнения и Carry flag'a (Флаг OF и CF)</t>
  </si>
  <si>
    <t>В ходе операции сложения двух отрицательных чисел был получен корректный результат</t>
  </si>
  <si>
    <t>+</t>
  </si>
  <si>
    <r>
      <t>[-2</t>
    </r>
    <r>
      <rPr>
        <vertAlign val="superscript"/>
        <sz val="11"/>
        <color theme="1"/>
        <rFont val="Calibri"/>
        <family val="2"/>
        <charset val="204"/>
        <scheme val="minor"/>
      </rPr>
      <t>15</t>
    </r>
    <r>
      <rPr>
        <sz val="11"/>
        <color theme="1"/>
        <rFont val="Calibri"/>
        <family val="2"/>
        <charset val="204"/>
        <scheme val="minor"/>
      </rPr>
      <t>;2</t>
    </r>
    <r>
      <rPr>
        <vertAlign val="superscript"/>
        <sz val="11"/>
        <color theme="1"/>
        <rFont val="Calibri"/>
        <family val="2"/>
        <charset val="204"/>
        <scheme val="minor"/>
      </rPr>
      <t>15</t>
    </r>
    <r>
      <rPr>
        <sz val="11"/>
        <color theme="1"/>
        <rFont val="Calibri"/>
        <family val="2"/>
        <charset val="204"/>
        <scheme val="minor"/>
      </rPr>
      <t>-1]</t>
    </r>
  </si>
  <si>
    <r>
      <t>X</t>
    </r>
    <r>
      <rPr>
        <sz val="11"/>
        <color theme="1"/>
        <rFont val="Calibri"/>
        <family val="2"/>
        <charset val="204"/>
        <scheme val="minor"/>
      </rPr>
      <t xml:space="preserve">1 = </t>
    </r>
  </si>
  <si>
    <r>
      <t>B</t>
    </r>
    <r>
      <rPr>
        <sz val="11"/>
        <color theme="1"/>
        <rFont val="Calibri"/>
        <family val="2"/>
        <charset val="204"/>
        <scheme val="minor"/>
      </rPr>
      <t xml:space="preserve">1 = </t>
    </r>
  </si>
  <si>
    <r>
      <t>X</t>
    </r>
    <r>
      <rPr>
        <sz val="11"/>
        <color theme="1"/>
        <rFont val="Calibri"/>
        <family val="2"/>
        <charset val="204"/>
        <scheme val="minor"/>
      </rPr>
      <t xml:space="preserve">2 = </t>
    </r>
  </si>
  <si>
    <r>
      <t>B</t>
    </r>
    <r>
      <rPr>
        <sz val="11"/>
        <color theme="1"/>
        <rFont val="Calibri"/>
        <family val="2"/>
        <charset val="204"/>
        <scheme val="minor"/>
      </rPr>
      <t xml:space="preserve">2 = </t>
    </r>
  </si>
  <si>
    <r>
      <t>X</t>
    </r>
    <r>
      <rPr>
        <sz val="11"/>
        <color theme="1"/>
        <rFont val="Calibri"/>
        <family val="2"/>
        <charset val="204"/>
        <scheme val="minor"/>
      </rPr>
      <t xml:space="preserve">3 = </t>
    </r>
  </si>
  <si>
    <r>
      <t>B</t>
    </r>
    <r>
      <rPr>
        <sz val="11"/>
        <color theme="1"/>
        <rFont val="Calibri"/>
        <family val="2"/>
        <charset val="204"/>
        <scheme val="minor"/>
      </rPr>
      <t xml:space="preserve">3 = </t>
    </r>
  </si>
  <si>
    <r>
      <t>X</t>
    </r>
    <r>
      <rPr>
        <sz val="11"/>
        <color theme="1"/>
        <rFont val="Calibri"/>
        <family val="2"/>
        <charset val="204"/>
        <scheme val="minor"/>
      </rPr>
      <t xml:space="preserve">4 = </t>
    </r>
  </si>
  <si>
    <r>
      <t>B</t>
    </r>
    <r>
      <rPr>
        <sz val="11"/>
        <color theme="1"/>
        <rFont val="Calibri"/>
        <family val="2"/>
        <charset val="204"/>
        <scheme val="minor"/>
      </rPr>
      <t xml:space="preserve">4 = </t>
    </r>
  </si>
  <si>
    <r>
      <t>X</t>
    </r>
    <r>
      <rPr>
        <sz val="11"/>
        <color theme="1"/>
        <rFont val="Calibri"/>
        <family val="2"/>
        <charset val="204"/>
        <scheme val="minor"/>
      </rPr>
      <t xml:space="preserve">5 = </t>
    </r>
  </si>
  <si>
    <r>
      <t>B</t>
    </r>
    <r>
      <rPr>
        <sz val="11"/>
        <color theme="1"/>
        <rFont val="Calibri"/>
        <family val="2"/>
        <charset val="204"/>
        <scheme val="minor"/>
      </rPr>
      <t xml:space="preserve">5 = </t>
    </r>
  </si>
  <si>
    <r>
      <t>X</t>
    </r>
    <r>
      <rPr>
        <sz val="11"/>
        <color theme="1"/>
        <rFont val="Calibri"/>
        <family val="2"/>
        <charset val="204"/>
        <scheme val="minor"/>
      </rPr>
      <t xml:space="preserve">6 = </t>
    </r>
  </si>
  <si>
    <r>
      <t>65536 - X</t>
    </r>
    <r>
      <rPr>
        <sz val="11"/>
        <color theme="1"/>
        <rFont val="Calibri"/>
        <family val="2"/>
        <charset val="204"/>
        <scheme val="minor"/>
      </rPr>
      <t xml:space="preserve">4 = </t>
    </r>
  </si>
  <si>
    <r>
      <t>B</t>
    </r>
    <r>
      <rPr>
        <sz val="11"/>
        <color theme="1"/>
        <rFont val="Calibri"/>
        <family val="2"/>
        <charset val="204"/>
        <scheme val="minor"/>
      </rPr>
      <t xml:space="preserve">6 = </t>
    </r>
  </si>
  <si>
    <r>
      <t>X</t>
    </r>
    <r>
      <rPr>
        <sz val="11"/>
        <color theme="1"/>
        <rFont val="Calibri"/>
        <family val="2"/>
        <charset val="204"/>
        <scheme val="minor"/>
      </rPr>
      <t xml:space="preserve">7 = </t>
    </r>
  </si>
  <si>
    <r>
      <t>-X</t>
    </r>
    <r>
      <rPr>
        <sz val="11"/>
        <color theme="1"/>
        <rFont val="Calibri"/>
        <family val="2"/>
        <charset val="204"/>
        <scheme val="minor"/>
      </rPr>
      <t xml:space="preserve">1 = </t>
    </r>
  </si>
  <si>
    <r>
      <t>B</t>
    </r>
    <r>
      <rPr>
        <sz val="11"/>
        <color theme="1"/>
        <rFont val="Calibri"/>
        <family val="2"/>
        <charset val="204"/>
        <scheme val="minor"/>
      </rPr>
      <t xml:space="preserve">7 = </t>
    </r>
  </si>
  <si>
    <r>
      <t>-B</t>
    </r>
    <r>
      <rPr>
        <sz val="11"/>
        <color theme="1"/>
        <rFont val="Calibri"/>
        <family val="2"/>
        <charset val="204"/>
        <scheme val="minor"/>
      </rPr>
      <t xml:space="preserve">1 = </t>
    </r>
  </si>
  <si>
    <r>
      <t>X</t>
    </r>
    <r>
      <rPr>
        <sz val="11"/>
        <color theme="1"/>
        <rFont val="Calibri"/>
        <family val="2"/>
        <charset val="204"/>
        <scheme val="minor"/>
      </rPr>
      <t xml:space="preserve">8 = </t>
    </r>
  </si>
  <si>
    <r>
      <t>-X</t>
    </r>
    <r>
      <rPr>
        <sz val="11"/>
        <color theme="1"/>
        <rFont val="Calibri"/>
        <family val="2"/>
        <charset val="204"/>
        <scheme val="minor"/>
      </rPr>
      <t xml:space="preserve">2 = </t>
    </r>
  </si>
  <si>
    <r>
      <t>B</t>
    </r>
    <r>
      <rPr>
        <sz val="11"/>
        <color theme="1"/>
        <rFont val="Calibri"/>
        <family val="2"/>
        <charset val="204"/>
        <scheme val="minor"/>
      </rPr>
      <t xml:space="preserve">8 = </t>
    </r>
  </si>
  <si>
    <r>
      <t>-B</t>
    </r>
    <r>
      <rPr>
        <sz val="11"/>
        <color theme="1"/>
        <rFont val="Calibri"/>
        <family val="2"/>
        <charset val="204"/>
        <scheme val="minor"/>
      </rPr>
      <t xml:space="preserve">2 = </t>
    </r>
  </si>
  <si>
    <r>
      <t>X</t>
    </r>
    <r>
      <rPr>
        <sz val="11"/>
        <color theme="1"/>
        <rFont val="Calibri"/>
        <family val="2"/>
        <charset val="204"/>
        <scheme val="minor"/>
      </rPr>
      <t xml:space="preserve">9 = </t>
    </r>
  </si>
  <si>
    <r>
      <t>-X</t>
    </r>
    <r>
      <rPr>
        <sz val="11"/>
        <color theme="1"/>
        <rFont val="Calibri"/>
        <family val="2"/>
        <charset val="204"/>
        <scheme val="minor"/>
      </rPr>
      <t xml:space="preserve">3 = </t>
    </r>
  </si>
  <si>
    <r>
      <t>B</t>
    </r>
    <r>
      <rPr>
        <sz val="11"/>
        <color theme="1"/>
        <rFont val="Calibri"/>
        <family val="2"/>
        <charset val="204"/>
        <scheme val="minor"/>
      </rPr>
      <t xml:space="preserve">9 = </t>
    </r>
  </si>
  <si>
    <r>
      <t>-B</t>
    </r>
    <r>
      <rPr>
        <sz val="11"/>
        <color theme="1"/>
        <rFont val="Calibri"/>
        <family val="2"/>
        <charset val="204"/>
        <scheme val="minor"/>
      </rPr>
      <t xml:space="preserve">3 = </t>
    </r>
  </si>
  <si>
    <r>
      <t>X</t>
    </r>
    <r>
      <rPr>
        <sz val="11"/>
        <color theme="1"/>
        <rFont val="Calibri"/>
        <family val="2"/>
        <charset val="204"/>
        <scheme val="minor"/>
      </rPr>
      <t xml:space="preserve">10 = </t>
    </r>
  </si>
  <si>
    <r>
      <t>-X</t>
    </r>
    <r>
      <rPr>
        <sz val="11"/>
        <color theme="1"/>
        <rFont val="Calibri"/>
        <family val="2"/>
        <charset val="204"/>
        <scheme val="minor"/>
      </rPr>
      <t xml:space="preserve">4 = </t>
    </r>
  </si>
  <si>
    <r>
      <t>B</t>
    </r>
    <r>
      <rPr>
        <sz val="11"/>
        <color theme="1"/>
        <rFont val="Calibri"/>
        <family val="2"/>
        <charset val="204"/>
        <scheme val="minor"/>
      </rPr>
      <t xml:space="preserve">10 = </t>
    </r>
  </si>
  <si>
    <r>
      <t>-B</t>
    </r>
    <r>
      <rPr>
        <sz val="11"/>
        <color theme="1"/>
        <rFont val="Calibri"/>
        <family val="2"/>
        <charset val="204"/>
        <scheme val="minor"/>
      </rPr>
      <t xml:space="preserve">4 = </t>
    </r>
  </si>
  <si>
    <r>
      <t>X</t>
    </r>
    <r>
      <rPr>
        <sz val="11"/>
        <color theme="1"/>
        <rFont val="Calibri"/>
        <family val="2"/>
        <charset val="204"/>
        <scheme val="minor"/>
      </rPr>
      <t xml:space="preserve">11 = </t>
    </r>
  </si>
  <si>
    <r>
      <t>-X</t>
    </r>
    <r>
      <rPr>
        <sz val="11"/>
        <color theme="1"/>
        <rFont val="Calibri"/>
        <family val="2"/>
        <charset val="204"/>
        <scheme val="minor"/>
      </rPr>
      <t xml:space="preserve">5 = </t>
    </r>
  </si>
  <si>
    <r>
      <t>B</t>
    </r>
    <r>
      <rPr>
        <sz val="11"/>
        <color theme="1"/>
        <rFont val="Calibri"/>
        <family val="2"/>
        <charset val="204"/>
        <scheme val="minor"/>
      </rPr>
      <t xml:space="preserve">11 = </t>
    </r>
  </si>
  <si>
    <r>
      <t>-B</t>
    </r>
    <r>
      <rPr>
        <sz val="11"/>
        <color theme="1"/>
        <rFont val="Calibri"/>
        <family val="2"/>
        <charset val="204"/>
        <scheme val="minor"/>
      </rPr>
      <t xml:space="preserve">5 = </t>
    </r>
  </si>
  <si>
    <r>
      <t>X</t>
    </r>
    <r>
      <rPr>
        <sz val="11"/>
        <color theme="1"/>
        <rFont val="Calibri"/>
        <family val="2"/>
        <charset val="204"/>
        <scheme val="minor"/>
      </rPr>
      <t xml:space="preserve">12 = </t>
    </r>
  </si>
  <si>
    <r>
      <t>-X</t>
    </r>
    <r>
      <rPr>
        <sz val="11"/>
        <color theme="1"/>
        <rFont val="Calibri"/>
        <family val="2"/>
        <charset val="204"/>
        <scheme val="minor"/>
      </rPr>
      <t xml:space="preserve">6 = </t>
    </r>
  </si>
  <si>
    <r>
      <t>B</t>
    </r>
    <r>
      <rPr>
        <sz val="11"/>
        <color theme="1"/>
        <rFont val="Calibri"/>
        <family val="2"/>
        <charset val="204"/>
        <scheme val="minor"/>
      </rPr>
      <t xml:space="preserve">12 = </t>
    </r>
  </si>
  <si>
    <r>
      <t>-B</t>
    </r>
    <r>
      <rPr>
        <sz val="11"/>
        <color theme="1"/>
        <rFont val="Calibri"/>
        <family val="2"/>
        <charset val="204"/>
        <scheme val="minor"/>
      </rPr>
      <t xml:space="preserve">6 = </t>
    </r>
  </si>
  <si>
    <r>
      <t>B</t>
    </r>
    <r>
      <rPr>
        <sz val="11"/>
        <color theme="1"/>
        <rFont val="Calibri"/>
        <family val="2"/>
        <charset val="204"/>
        <scheme val="minor"/>
      </rPr>
      <t>1</t>
    </r>
  </si>
  <si>
    <r>
      <t>X</t>
    </r>
    <r>
      <rPr>
        <sz val="11"/>
        <color theme="1"/>
        <rFont val="Calibri"/>
        <family val="2"/>
        <charset val="204"/>
        <scheme val="minor"/>
      </rPr>
      <t>1</t>
    </r>
  </si>
  <si>
    <r>
      <t>B</t>
    </r>
    <r>
      <rPr>
        <sz val="11"/>
        <color theme="1"/>
        <rFont val="Calibri"/>
        <family val="2"/>
        <charset val="204"/>
        <scheme val="minor"/>
      </rPr>
      <t xml:space="preserve">2 </t>
    </r>
  </si>
  <si>
    <r>
      <t>X</t>
    </r>
    <r>
      <rPr>
        <sz val="11"/>
        <color theme="1"/>
        <rFont val="Calibri"/>
        <family val="2"/>
        <charset val="204"/>
        <scheme val="minor"/>
      </rPr>
      <t>2</t>
    </r>
  </si>
  <si>
    <r>
      <t>B</t>
    </r>
    <r>
      <rPr>
        <sz val="11"/>
        <color theme="1"/>
        <rFont val="Calibri"/>
        <family val="2"/>
        <charset val="204"/>
        <scheme val="minor"/>
      </rPr>
      <t>2</t>
    </r>
  </si>
  <si>
    <r>
      <t>B</t>
    </r>
    <r>
      <rPr>
        <sz val="11"/>
        <color theme="1"/>
        <rFont val="Calibri"/>
        <family val="2"/>
        <charset val="204"/>
        <scheme val="minor"/>
      </rPr>
      <t>3</t>
    </r>
  </si>
  <si>
    <r>
      <t>X</t>
    </r>
    <r>
      <rPr>
        <sz val="11"/>
        <color theme="1"/>
        <rFont val="Calibri"/>
        <family val="2"/>
        <charset val="204"/>
        <scheme val="minor"/>
      </rPr>
      <t>3</t>
    </r>
  </si>
  <si>
    <r>
      <t>B</t>
    </r>
    <r>
      <rPr>
        <sz val="11"/>
        <color theme="1"/>
        <rFont val="Calibri"/>
        <family val="2"/>
        <charset val="204"/>
        <scheme val="minor"/>
      </rPr>
      <t>7</t>
    </r>
  </si>
  <si>
    <r>
      <t>X</t>
    </r>
    <r>
      <rPr>
        <sz val="11"/>
        <color theme="1"/>
        <rFont val="Calibri"/>
        <family val="2"/>
        <charset val="204"/>
        <scheme val="minor"/>
      </rPr>
      <t>7</t>
    </r>
  </si>
  <si>
    <r>
      <t>B</t>
    </r>
    <r>
      <rPr>
        <sz val="11"/>
        <color theme="1"/>
        <rFont val="Calibri"/>
        <family val="2"/>
        <charset val="204"/>
        <scheme val="minor"/>
      </rPr>
      <t>8</t>
    </r>
  </si>
  <si>
    <r>
      <t>X</t>
    </r>
    <r>
      <rPr>
        <sz val="11"/>
        <color theme="1"/>
        <rFont val="Calibri"/>
        <family val="2"/>
        <charset val="204"/>
        <scheme val="minor"/>
      </rPr>
      <t>8</t>
    </r>
  </si>
  <si>
    <r>
      <t>B</t>
    </r>
    <r>
      <rPr>
        <sz val="11"/>
        <color theme="1"/>
        <rFont val="Calibri"/>
        <family val="2"/>
        <charset val="204"/>
        <scheme val="minor"/>
      </rPr>
      <t>9</t>
    </r>
  </si>
  <si>
    <r>
      <t>X</t>
    </r>
    <r>
      <rPr>
        <sz val="11"/>
        <color theme="1"/>
        <rFont val="Calibri"/>
        <family val="2"/>
        <charset val="204"/>
        <scheme val="minor"/>
      </rPr>
      <t>9</t>
    </r>
  </si>
  <si>
    <r>
      <t>B</t>
    </r>
    <r>
      <rPr>
        <sz val="11"/>
        <color theme="1"/>
        <rFont val="Calibri"/>
        <family val="2"/>
        <charset val="204"/>
        <scheme val="minor"/>
      </rPr>
      <t>11</t>
    </r>
  </si>
  <si>
    <r>
      <t>X</t>
    </r>
    <r>
      <rPr>
        <sz val="11"/>
        <color theme="1"/>
        <rFont val="Calibri"/>
        <family val="2"/>
        <charset val="204"/>
        <scheme val="minor"/>
      </rPr>
      <t>11</t>
    </r>
  </si>
  <si>
    <t>В ходе операции сложения двух неотрицательных чисел был получен корректный результат.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</si>
</sst>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;;;"/>
    <numFmt numFmtId="165" formatCode="[$-F800]dddd\,\ mmmm\ dd\,\ yyyy"/>
  </numFmts>
  <fonts count="4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vertAlign val="superscript"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165" fontId="0" fillId="0" borderId="0" xfId="0" applyNumberFormat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right"/>
    </xf>
    <xf numFmtId="0" fontId="0" fillId="0" borderId="0" xfId="0" quotePrefix="1" applyAlignment="1">
      <alignment horizontal="left"/>
    </xf>
    <xf numFmtId="0" fontId="0" fillId="0" borderId="0" xfId="0" applyAlignment="1">
      <alignment horizontal="right" vertical="center"/>
    </xf>
    <xf numFmtId="0" fontId="0" fillId="0" borderId="0" xfId="0" quotePrefix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0" xfId="0" applyAlignment="1">
      <alignment horizontal="left" vertical="center"/>
    </xf>
    <xf numFmtId="0" fontId="0" fillId="0" borderId="0" xfId="0" quotePrefix="1"/>
    <xf numFmtId="164" fontId="0" fillId="0" borderId="0" xfId="0" applyNumberFormat="1"/>
    <xf numFmtId="164" fontId="0" fillId="0" borderId="0" xfId="0" applyNumberFormat="1" applyAlignment="1">
      <alignment horizontal="center" vertical="top"/>
    </xf>
    <xf numFmtId="0" fontId="3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6856A-84C8-4140-8EF9-1F219F67AF0D}">
  <dimension ref="A2:AM73"/>
  <sheetViews>
    <sheetView tabSelected="1" zoomScale="78" zoomScaleNormal="102" workbookViewId="0">
      <selection activeCell="AI4" sqref="AI4"/>
    </sheetView>
  </sheetViews>
  <sheetFormatPr defaultRowHeight="14.4" x14ac:dyDescent="0.3"/>
  <cols>
    <col min="1" max="1" width="8.88671875" style="1"/>
    <col min="3" max="3" width="11.5546875" customWidth="1"/>
    <col min="4" max="4" width="12.6640625" customWidth="1"/>
    <col min="5" max="5" width="7.33203125" customWidth="1"/>
    <col min="6" max="6" width="5.44140625" customWidth="1"/>
    <col min="7" max="7" width="19.6640625" customWidth="1"/>
    <col min="8" max="8" width="8" customWidth="1"/>
    <col min="9" max="27" width="3.6640625" customWidth="1"/>
    <col min="31" max="31" width="6.77734375" customWidth="1"/>
    <col min="38" max="38" width="8.88671875" customWidth="1"/>
  </cols>
  <sheetData>
    <row r="2" spans="1:39" ht="15" thickBot="1" x14ac:dyDescent="0.35"/>
    <row r="3" spans="1:39" x14ac:dyDescent="0.3">
      <c r="A3"/>
      <c r="C3" s="2" t="s">
        <v>0</v>
      </c>
      <c r="D3" s="3">
        <v>6518</v>
      </c>
      <c r="E3" s="4"/>
      <c r="F3" s="18" t="str">
        <f>IF(ISNUMBER(D3),IF(MOD(D3,1)&lt;&gt;0,"ОШИБКА: Число не является целочисленным",""),"ОШИБКА: Число не было введено")</f>
        <v/>
      </c>
    </row>
    <row r="4" spans="1:39" ht="15" thickBot="1" x14ac:dyDescent="0.35">
      <c r="A4"/>
      <c r="C4" s="5" t="s">
        <v>1</v>
      </c>
      <c r="D4" s="6">
        <v>14200</v>
      </c>
      <c r="F4" s="18" t="str">
        <f>IF(ISNUMBER(D4),IF(MOD(D4,1)&lt;&gt;0,"ОШИБКА: Число не является целочисленным",""),"ОШИБКА: Число не было введено")</f>
        <v/>
      </c>
    </row>
    <row r="5" spans="1:39" x14ac:dyDescent="0.3">
      <c r="A5"/>
      <c r="I5" s="8">
        <v>15</v>
      </c>
      <c r="J5" s="8">
        <v>14</v>
      </c>
      <c r="K5" s="8">
        <v>13</v>
      </c>
      <c r="L5" s="8">
        <v>12</v>
      </c>
      <c r="M5" s="8"/>
      <c r="N5" s="8">
        <v>11</v>
      </c>
      <c r="O5" s="8">
        <v>10</v>
      </c>
      <c r="P5" s="8">
        <v>9</v>
      </c>
      <c r="Q5" s="8">
        <v>8</v>
      </c>
      <c r="R5" s="8"/>
      <c r="S5" s="8">
        <v>7</v>
      </c>
      <c r="T5" s="8">
        <v>6</v>
      </c>
      <c r="U5" s="8">
        <v>5</v>
      </c>
      <c r="V5" s="8">
        <v>4</v>
      </c>
      <c r="W5" s="8"/>
      <c r="X5" s="8">
        <v>3</v>
      </c>
      <c r="Y5" s="8">
        <v>2</v>
      </c>
      <c r="Z5" s="8">
        <v>1</v>
      </c>
      <c r="AA5" s="8">
        <v>0</v>
      </c>
    </row>
    <row r="6" spans="1:39" x14ac:dyDescent="0.3">
      <c r="A6"/>
      <c r="B6" s="7" t="s">
        <v>25</v>
      </c>
      <c r="C6" s="7" t="s">
        <v>0</v>
      </c>
      <c r="D6" s="8">
        <f>D3</f>
        <v>6518</v>
      </c>
      <c r="G6" s="7" t="s">
        <v>26</v>
      </c>
      <c r="I6" s="9" t="str">
        <f t="shared" ref="I6:I17" si="0">IF(I$5="",".",IF(D6=0,0,MID(IF($D6&gt;0,_xlfn.BASE($D6,2,16),_xlfn.BASE($D6+65536,2,16)),ABS(16-I$5),1)))</f>
        <v>0</v>
      </c>
      <c r="J6" s="9" t="str">
        <f t="shared" ref="J6:AA17" si="1">IF(J$5="",".",MID(IF($D6&gt;0,_xlfn.BASE($D6,2,16),_xlfn.BASE($D6+65536,2,16)),ABS(16-J$5),1))</f>
        <v>0</v>
      </c>
      <c r="K6" s="9" t="str">
        <f t="shared" si="1"/>
        <v>0</v>
      </c>
      <c r="L6" s="9" t="str">
        <f t="shared" si="1"/>
        <v>1</v>
      </c>
      <c r="M6" s="9" t="str">
        <f t="shared" si="1"/>
        <v>.</v>
      </c>
      <c r="N6" s="9" t="str">
        <f t="shared" si="1"/>
        <v>1</v>
      </c>
      <c r="O6" s="9" t="str">
        <f t="shared" si="1"/>
        <v>0</v>
      </c>
      <c r="P6" s="9" t="str">
        <f t="shared" si="1"/>
        <v>0</v>
      </c>
      <c r="Q6" s="9" t="str">
        <f t="shared" si="1"/>
        <v>1</v>
      </c>
      <c r="R6" s="9" t="str">
        <f t="shared" si="1"/>
        <v>.</v>
      </c>
      <c r="S6" s="9" t="str">
        <f t="shared" si="1"/>
        <v>0</v>
      </c>
      <c r="T6" s="9" t="str">
        <f t="shared" si="1"/>
        <v>1</v>
      </c>
      <c r="U6" s="9" t="str">
        <f t="shared" si="1"/>
        <v>1</v>
      </c>
      <c r="V6" s="9" t="str">
        <f t="shared" si="1"/>
        <v>1</v>
      </c>
      <c r="W6" s="9" t="str">
        <f t="shared" si="1"/>
        <v>.</v>
      </c>
      <c r="X6" s="9" t="str">
        <f t="shared" si="1"/>
        <v>0</v>
      </c>
      <c r="Y6" s="9" t="str">
        <f t="shared" si="1"/>
        <v>1</v>
      </c>
      <c r="Z6" s="9" t="str">
        <f t="shared" si="1"/>
        <v>1</v>
      </c>
      <c r="AA6" s="9" t="str">
        <f t="shared" si="1"/>
        <v>0</v>
      </c>
      <c r="AB6" s="19"/>
      <c r="AC6" t="str">
        <f t="shared" ref="AC6:AC17" si="2">IF(ABS(D6)&gt;=2^16,"ОШИБКА: Число не входит в 16-разрядную сетку","")</f>
        <v/>
      </c>
      <c r="AL6" s="21" t="s">
        <v>77</v>
      </c>
      <c r="AM6" s="20" t="s">
        <v>19</v>
      </c>
    </row>
    <row r="7" spans="1:39" x14ac:dyDescent="0.3">
      <c r="A7"/>
      <c r="B7" s="7" t="s">
        <v>27</v>
      </c>
      <c r="C7" s="7" t="s">
        <v>1</v>
      </c>
      <c r="D7" s="8">
        <f>D4</f>
        <v>14200</v>
      </c>
      <c r="G7" s="7" t="s">
        <v>28</v>
      </c>
      <c r="I7" s="9" t="str">
        <f t="shared" si="0"/>
        <v>0</v>
      </c>
      <c r="J7" s="9" t="str">
        <f t="shared" si="1"/>
        <v>0</v>
      </c>
      <c r="K7" s="9" t="str">
        <f t="shared" si="1"/>
        <v>1</v>
      </c>
      <c r="L7" s="9" t="str">
        <f t="shared" si="1"/>
        <v>1</v>
      </c>
      <c r="M7" s="9" t="str">
        <f t="shared" si="1"/>
        <v>.</v>
      </c>
      <c r="N7" s="9" t="str">
        <f t="shared" si="1"/>
        <v>0</v>
      </c>
      <c r="O7" s="9" t="str">
        <f t="shared" si="1"/>
        <v>1</v>
      </c>
      <c r="P7" s="9" t="str">
        <f t="shared" si="1"/>
        <v>1</v>
      </c>
      <c r="Q7" s="9" t="str">
        <f t="shared" si="1"/>
        <v>1</v>
      </c>
      <c r="R7" s="9" t="str">
        <f t="shared" si="1"/>
        <v>.</v>
      </c>
      <c r="S7" s="9" t="str">
        <f t="shared" si="1"/>
        <v>0</v>
      </c>
      <c r="T7" s="9" t="str">
        <f t="shared" si="1"/>
        <v>1</v>
      </c>
      <c r="U7" s="9" t="str">
        <f t="shared" si="1"/>
        <v>1</v>
      </c>
      <c r="V7" s="9" t="str">
        <f t="shared" si="1"/>
        <v>1</v>
      </c>
      <c r="W7" s="9" t="str">
        <f t="shared" si="1"/>
        <v>.</v>
      </c>
      <c r="X7" s="9" t="str">
        <f t="shared" si="1"/>
        <v>1</v>
      </c>
      <c r="Y7" s="9" t="str">
        <f t="shared" si="1"/>
        <v>0</v>
      </c>
      <c r="Z7" s="9" t="str">
        <f t="shared" si="1"/>
        <v>0</v>
      </c>
      <c r="AA7" s="9" t="str">
        <f t="shared" si="1"/>
        <v>0</v>
      </c>
      <c r="AB7" s="19"/>
      <c r="AC7" t="str">
        <f t="shared" si="2"/>
        <v/>
      </c>
      <c r="AL7" s="20" t="s">
        <v>18</v>
      </c>
      <c r="AM7" s="20" t="s">
        <v>18</v>
      </c>
    </row>
    <row r="8" spans="1:39" x14ac:dyDescent="0.3">
      <c r="A8"/>
      <c r="B8" s="7" t="s">
        <v>29</v>
      </c>
      <c r="C8" s="7" t="s">
        <v>2</v>
      </c>
      <c r="D8" s="8">
        <f>D3+D4</f>
        <v>20718</v>
      </c>
      <c r="G8" s="7" t="s">
        <v>30</v>
      </c>
      <c r="I8" s="9" t="str">
        <f t="shared" si="0"/>
        <v>0</v>
      </c>
      <c r="J8" s="9" t="str">
        <f t="shared" si="1"/>
        <v>1</v>
      </c>
      <c r="K8" s="9" t="str">
        <f t="shared" si="1"/>
        <v>0</v>
      </c>
      <c r="L8" s="9" t="str">
        <f t="shared" si="1"/>
        <v>1</v>
      </c>
      <c r="M8" s="9" t="str">
        <f t="shared" si="1"/>
        <v>.</v>
      </c>
      <c r="N8" s="9" t="str">
        <f t="shared" si="1"/>
        <v>0</v>
      </c>
      <c r="O8" s="9" t="str">
        <f t="shared" si="1"/>
        <v>0</v>
      </c>
      <c r="P8" s="9" t="str">
        <f t="shared" si="1"/>
        <v>0</v>
      </c>
      <c r="Q8" s="9" t="str">
        <f t="shared" si="1"/>
        <v>0</v>
      </c>
      <c r="R8" s="9" t="str">
        <f t="shared" si="1"/>
        <v>.</v>
      </c>
      <c r="S8" s="9" t="str">
        <f t="shared" si="1"/>
        <v>1</v>
      </c>
      <c r="T8" s="9" t="str">
        <f t="shared" si="1"/>
        <v>1</v>
      </c>
      <c r="U8" s="9" t="str">
        <f t="shared" si="1"/>
        <v>1</v>
      </c>
      <c r="V8" s="9" t="str">
        <f t="shared" si="1"/>
        <v>0</v>
      </c>
      <c r="W8" s="9" t="str">
        <f t="shared" si="1"/>
        <v>.</v>
      </c>
      <c r="X8" s="9" t="str">
        <f t="shared" si="1"/>
        <v>1</v>
      </c>
      <c r="Y8" s="9" t="str">
        <f t="shared" si="1"/>
        <v>1</v>
      </c>
      <c r="Z8" s="9" t="str">
        <f t="shared" si="1"/>
        <v>1</v>
      </c>
      <c r="AA8" s="9" t="str">
        <f t="shared" si="1"/>
        <v>0</v>
      </c>
      <c r="AB8" s="19"/>
      <c r="AC8" t="str">
        <f t="shared" si="2"/>
        <v/>
      </c>
      <c r="AL8" s="20" t="s">
        <v>20</v>
      </c>
      <c r="AM8" s="20" t="s">
        <v>20</v>
      </c>
    </row>
    <row r="9" spans="1:39" x14ac:dyDescent="0.3">
      <c r="A9"/>
      <c r="B9" s="7" t="s">
        <v>31</v>
      </c>
      <c r="C9" s="7" t="s">
        <v>3</v>
      </c>
      <c r="D9" s="8">
        <f>D3+D4+D4</f>
        <v>34918</v>
      </c>
      <c r="G9" s="7" t="s">
        <v>32</v>
      </c>
      <c r="I9" s="9" t="str">
        <f t="shared" si="0"/>
        <v>1</v>
      </c>
      <c r="J9" s="9" t="str">
        <f t="shared" si="1"/>
        <v>0</v>
      </c>
      <c r="K9" s="9" t="str">
        <f t="shared" si="1"/>
        <v>0</v>
      </c>
      <c r="L9" s="9" t="str">
        <f t="shared" si="1"/>
        <v>0</v>
      </c>
      <c r="M9" s="9" t="str">
        <f t="shared" si="1"/>
        <v>.</v>
      </c>
      <c r="N9" s="9" t="str">
        <f t="shared" si="1"/>
        <v>1</v>
      </c>
      <c r="O9" s="9" t="str">
        <f t="shared" si="1"/>
        <v>0</v>
      </c>
      <c r="P9" s="9" t="str">
        <f t="shared" si="1"/>
        <v>0</v>
      </c>
      <c r="Q9" s="9" t="str">
        <f t="shared" si="1"/>
        <v>0</v>
      </c>
      <c r="R9" s="9" t="str">
        <f t="shared" si="1"/>
        <v>.</v>
      </c>
      <c r="S9" s="9" t="str">
        <f t="shared" si="1"/>
        <v>0</v>
      </c>
      <c r="T9" s="9" t="str">
        <f t="shared" si="1"/>
        <v>1</v>
      </c>
      <c r="U9" s="9" t="str">
        <f t="shared" si="1"/>
        <v>1</v>
      </c>
      <c r="V9" s="9" t="str">
        <f t="shared" si="1"/>
        <v>0</v>
      </c>
      <c r="W9" s="9" t="str">
        <f t="shared" si="1"/>
        <v>.</v>
      </c>
      <c r="X9" s="9" t="str">
        <f t="shared" si="1"/>
        <v>0</v>
      </c>
      <c r="Y9" s="9" t="str">
        <f t="shared" si="1"/>
        <v>1</v>
      </c>
      <c r="Z9" s="9" t="str">
        <f t="shared" si="1"/>
        <v>1</v>
      </c>
      <c r="AA9" s="9" t="str">
        <f t="shared" si="1"/>
        <v>0</v>
      </c>
      <c r="AB9" s="19"/>
      <c r="AC9" t="str">
        <f t="shared" si="2"/>
        <v/>
      </c>
      <c r="AL9" s="20" t="s">
        <v>21</v>
      </c>
      <c r="AM9" s="20" t="s">
        <v>21</v>
      </c>
    </row>
    <row r="10" spans="1:39" x14ac:dyDescent="0.3">
      <c r="A10"/>
      <c r="B10" s="7" t="s">
        <v>33</v>
      </c>
      <c r="C10" s="7" t="s">
        <v>4</v>
      </c>
      <c r="D10" s="8">
        <f>D4-D3</f>
        <v>7682</v>
      </c>
      <c r="G10" s="7" t="s">
        <v>34</v>
      </c>
      <c r="I10" s="9" t="str">
        <f t="shared" si="0"/>
        <v>0</v>
      </c>
      <c r="J10" s="9" t="str">
        <f t="shared" si="1"/>
        <v>0</v>
      </c>
      <c r="K10" s="9" t="str">
        <f t="shared" si="1"/>
        <v>0</v>
      </c>
      <c r="L10" s="9" t="str">
        <f t="shared" si="1"/>
        <v>1</v>
      </c>
      <c r="M10" s="9" t="str">
        <f t="shared" si="1"/>
        <v>.</v>
      </c>
      <c r="N10" s="9" t="str">
        <f t="shared" si="1"/>
        <v>1</v>
      </c>
      <c r="O10" s="9" t="str">
        <f t="shared" si="1"/>
        <v>1</v>
      </c>
      <c r="P10" s="9" t="str">
        <f t="shared" si="1"/>
        <v>1</v>
      </c>
      <c r="Q10" s="9" t="str">
        <f t="shared" si="1"/>
        <v>0</v>
      </c>
      <c r="R10" s="9" t="str">
        <f t="shared" si="1"/>
        <v>.</v>
      </c>
      <c r="S10" s="9" t="str">
        <f t="shared" si="1"/>
        <v>0</v>
      </c>
      <c r="T10" s="9" t="str">
        <f>IF(T$5="",".",MID(IF($D10&gt;0,_xlfn.BASE($D10,2,16),_xlfn.BASE($D10+65536,2,16)),ABS(16-T$5),1))</f>
        <v>0</v>
      </c>
      <c r="U10" s="9" t="str">
        <f t="shared" si="1"/>
        <v>0</v>
      </c>
      <c r="V10" s="9" t="str">
        <f t="shared" si="1"/>
        <v>0</v>
      </c>
      <c r="W10" s="9" t="str">
        <f t="shared" si="1"/>
        <v>.</v>
      </c>
      <c r="X10" s="9" t="str">
        <f t="shared" si="1"/>
        <v>0</v>
      </c>
      <c r="Y10" s="9" t="str">
        <f t="shared" si="1"/>
        <v>0</v>
      </c>
      <c r="Z10" s="9" t="str">
        <f t="shared" si="1"/>
        <v>1</v>
      </c>
      <c r="AA10" s="9" t="str">
        <f t="shared" si="1"/>
        <v>0</v>
      </c>
      <c r="AB10" s="19"/>
      <c r="AC10" t="str">
        <f t="shared" si="2"/>
        <v/>
      </c>
      <c r="AL10" s="20" t="s">
        <v>22</v>
      </c>
      <c r="AM10" s="20" t="s">
        <v>22</v>
      </c>
    </row>
    <row r="11" spans="1:39" x14ac:dyDescent="0.3">
      <c r="A11"/>
      <c r="B11" s="7" t="s">
        <v>35</v>
      </c>
      <c r="C11" s="7" t="s">
        <v>36</v>
      </c>
      <c r="D11" s="8">
        <f>65536-D9</f>
        <v>30618</v>
      </c>
      <c r="G11" s="7" t="s">
        <v>37</v>
      </c>
      <c r="I11" s="9" t="str">
        <f t="shared" si="0"/>
        <v>0</v>
      </c>
      <c r="J11" s="9" t="str">
        <f t="shared" si="1"/>
        <v>1</v>
      </c>
      <c r="K11" s="9" t="str">
        <f t="shared" si="1"/>
        <v>1</v>
      </c>
      <c r="L11" s="9" t="str">
        <f t="shared" si="1"/>
        <v>1</v>
      </c>
      <c r="M11" s="9" t="str">
        <f t="shared" si="1"/>
        <v>.</v>
      </c>
      <c r="N11" s="9" t="str">
        <f t="shared" si="1"/>
        <v>0</v>
      </c>
      <c r="O11" s="9" t="str">
        <f t="shared" si="1"/>
        <v>1</v>
      </c>
      <c r="P11" s="9" t="str">
        <f t="shared" si="1"/>
        <v>1</v>
      </c>
      <c r="Q11" s="9" t="str">
        <f t="shared" si="1"/>
        <v>1</v>
      </c>
      <c r="R11" s="9" t="str">
        <f t="shared" si="1"/>
        <v>.</v>
      </c>
      <c r="S11" s="9" t="str">
        <f t="shared" si="1"/>
        <v>1</v>
      </c>
      <c r="T11" s="9" t="str">
        <f t="shared" si="1"/>
        <v>0</v>
      </c>
      <c r="U11" s="9" t="str">
        <f t="shared" si="1"/>
        <v>0</v>
      </c>
      <c r="V11" s="9" t="str">
        <f t="shared" si="1"/>
        <v>1</v>
      </c>
      <c r="W11" s="9" t="str">
        <f t="shared" si="1"/>
        <v>.</v>
      </c>
      <c r="X11" s="9" t="str">
        <f t="shared" si="1"/>
        <v>1</v>
      </c>
      <c r="Y11" s="9" t="str">
        <f t="shared" si="1"/>
        <v>0</v>
      </c>
      <c r="Z11" s="9" t="str">
        <f t="shared" si="1"/>
        <v>1</v>
      </c>
      <c r="AA11" s="9" t="str">
        <f t="shared" si="1"/>
        <v>0</v>
      </c>
      <c r="AB11" s="19"/>
      <c r="AC11" t="str">
        <f t="shared" si="2"/>
        <v/>
      </c>
    </row>
    <row r="12" spans="1:39" x14ac:dyDescent="0.3">
      <c r="A12"/>
      <c r="B12" s="7" t="s">
        <v>38</v>
      </c>
      <c r="C12" s="10" t="s">
        <v>39</v>
      </c>
      <c r="D12" s="8">
        <f>D6 * (-1)</f>
        <v>-6518</v>
      </c>
      <c r="G12" s="7" t="s">
        <v>40</v>
      </c>
      <c r="H12" s="11" t="s">
        <v>41</v>
      </c>
      <c r="I12" s="9" t="str">
        <f t="shared" si="0"/>
        <v>1</v>
      </c>
      <c r="J12" s="9" t="str">
        <f t="shared" si="1"/>
        <v>1</v>
      </c>
      <c r="K12" s="9" t="str">
        <f t="shared" si="1"/>
        <v>1</v>
      </c>
      <c r="L12" s="9" t="str">
        <f t="shared" si="1"/>
        <v>0</v>
      </c>
      <c r="M12" s="9" t="str">
        <f t="shared" si="1"/>
        <v>.</v>
      </c>
      <c r="N12" s="9" t="str">
        <f t="shared" si="1"/>
        <v>0</v>
      </c>
      <c r="O12" s="9" t="str">
        <f t="shared" si="1"/>
        <v>1</v>
      </c>
      <c r="P12" s="9" t="str">
        <f t="shared" si="1"/>
        <v>1</v>
      </c>
      <c r="Q12" s="9" t="str">
        <f t="shared" si="1"/>
        <v>0</v>
      </c>
      <c r="R12" s="9" t="str">
        <f t="shared" si="1"/>
        <v>.</v>
      </c>
      <c r="S12" s="9" t="str">
        <f t="shared" si="1"/>
        <v>1</v>
      </c>
      <c r="T12" s="9" t="str">
        <f t="shared" si="1"/>
        <v>0</v>
      </c>
      <c r="U12" s="9" t="str">
        <f t="shared" si="1"/>
        <v>0</v>
      </c>
      <c r="V12" s="9" t="str">
        <f t="shared" si="1"/>
        <v>0</v>
      </c>
      <c r="W12" s="9" t="str">
        <f t="shared" si="1"/>
        <v>.</v>
      </c>
      <c r="X12" s="9" t="str">
        <f t="shared" si="1"/>
        <v>1</v>
      </c>
      <c r="Y12" s="9" t="str">
        <f t="shared" si="1"/>
        <v>0</v>
      </c>
      <c r="Z12" s="9" t="str">
        <f t="shared" si="1"/>
        <v>1</v>
      </c>
      <c r="AA12" s="9" t="str">
        <f t="shared" si="1"/>
        <v>0</v>
      </c>
      <c r="AB12" s="19"/>
      <c r="AC12" t="str">
        <f t="shared" si="2"/>
        <v/>
      </c>
    </row>
    <row r="13" spans="1:39" x14ac:dyDescent="0.3">
      <c r="A13"/>
      <c r="B13" s="7" t="s">
        <v>42</v>
      </c>
      <c r="C13" s="10" t="s">
        <v>43</v>
      </c>
      <c r="D13" s="8">
        <f t="shared" ref="D13:D17" si="3">D7 * (-1)</f>
        <v>-14200</v>
      </c>
      <c r="G13" s="7" t="s">
        <v>44</v>
      </c>
      <c r="H13" s="11" t="s">
        <v>45</v>
      </c>
      <c r="I13" s="9" t="str">
        <f t="shared" si="0"/>
        <v>1</v>
      </c>
      <c r="J13" s="9" t="str">
        <f t="shared" si="1"/>
        <v>1</v>
      </c>
      <c r="K13" s="9" t="str">
        <f t="shared" si="1"/>
        <v>0</v>
      </c>
      <c r="L13" s="9" t="str">
        <f t="shared" si="1"/>
        <v>0</v>
      </c>
      <c r="M13" s="9" t="str">
        <f t="shared" si="1"/>
        <v>.</v>
      </c>
      <c r="N13" s="9" t="str">
        <f t="shared" si="1"/>
        <v>1</v>
      </c>
      <c r="O13" s="9" t="str">
        <f t="shared" si="1"/>
        <v>0</v>
      </c>
      <c r="P13" s="9" t="str">
        <f t="shared" si="1"/>
        <v>0</v>
      </c>
      <c r="Q13" s="9" t="str">
        <f t="shared" si="1"/>
        <v>0</v>
      </c>
      <c r="R13" s="9" t="str">
        <f t="shared" si="1"/>
        <v>.</v>
      </c>
      <c r="S13" s="9" t="str">
        <f t="shared" si="1"/>
        <v>1</v>
      </c>
      <c r="T13" s="9" t="str">
        <f t="shared" si="1"/>
        <v>0</v>
      </c>
      <c r="U13" s="9" t="str">
        <f t="shared" si="1"/>
        <v>0</v>
      </c>
      <c r="V13" s="9" t="str">
        <f t="shared" si="1"/>
        <v>0</v>
      </c>
      <c r="W13" s="9" t="str">
        <f t="shared" si="1"/>
        <v>.</v>
      </c>
      <c r="X13" s="9" t="str">
        <f t="shared" si="1"/>
        <v>1</v>
      </c>
      <c r="Y13" s="9" t="str">
        <f t="shared" si="1"/>
        <v>0</v>
      </c>
      <c r="Z13" s="9" t="str">
        <f t="shared" si="1"/>
        <v>0</v>
      </c>
      <c r="AA13" s="9" t="str">
        <f t="shared" si="1"/>
        <v>0</v>
      </c>
      <c r="AB13" s="19"/>
      <c r="AC13" t="str">
        <f t="shared" si="2"/>
        <v/>
      </c>
    </row>
    <row r="14" spans="1:39" x14ac:dyDescent="0.3">
      <c r="B14" s="7" t="s">
        <v>46</v>
      </c>
      <c r="C14" s="10" t="s">
        <v>47</v>
      </c>
      <c r="D14" s="8">
        <f>D8 * (-1)</f>
        <v>-20718</v>
      </c>
      <c r="G14" s="7" t="s">
        <v>48</v>
      </c>
      <c r="H14" s="11" t="s">
        <v>49</v>
      </c>
      <c r="I14" s="9" t="str">
        <f t="shared" si="0"/>
        <v>1</v>
      </c>
      <c r="J14" s="9" t="str">
        <f t="shared" si="1"/>
        <v>0</v>
      </c>
      <c r="K14" s="9" t="str">
        <f t="shared" si="1"/>
        <v>1</v>
      </c>
      <c r="L14" s="9" t="str">
        <f t="shared" si="1"/>
        <v>0</v>
      </c>
      <c r="M14" s="9" t="str">
        <f t="shared" si="1"/>
        <v>.</v>
      </c>
      <c r="N14" s="9" t="str">
        <f t="shared" si="1"/>
        <v>1</v>
      </c>
      <c r="O14" s="9" t="str">
        <f t="shared" si="1"/>
        <v>1</v>
      </c>
      <c r="P14" s="9" t="str">
        <f t="shared" si="1"/>
        <v>1</v>
      </c>
      <c r="Q14" s="9" t="str">
        <f t="shared" si="1"/>
        <v>1</v>
      </c>
      <c r="R14" s="9" t="str">
        <f t="shared" si="1"/>
        <v>.</v>
      </c>
      <c r="S14" s="9" t="str">
        <f t="shared" si="1"/>
        <v>0</v>
      </c>
      <c r="T14" s="9" t="str">
        <f t="shared" si="1"/>
        <v>0</v>
      </c>
      <c r="U14" s="9" t="str">
        <f t="shared" si="1"/>
        <v>0</v>
      </c>
      <c r="V14" s="9" t="str">
        <f t="shared" si="1"/>
        <v>1</v>
      </c>
      <c r="W14" s="9" t="str">
        <f t="shared" si="1"/>
        <v>.</v>
      </c>
      <c r="X14" s="9" t="str">
        <f t="shared" si="1"/>
        <v>0</v>
      </c>
      <c r="Y14" s="9" t="str">
        <f t="shared" si="1"/>
        <v>0</v>
      </c>
      <c r="Z14" s="9" t="str">
        <f t="shared" si="1"/>
        <v>1</v>
      </c>
      <c r="AA14" s="9" t="str">
        <f t="shared" si="1"/>
        <v>0</v>
      </c>
      <c r="AB14" s="19"/>
      <c r="AC14" t="str">
        <f t="shared" si="2"/>
        <v/>
      </c>
    </row>
    <row r="15" spans="1:39" x14ac:dyDescent="0.3">
      <c r="B15" s="7" t="s">
        <v>50</v>
      </c>
      <c r="C15" s="10" t="s">
        <v>51</v>
      </c>
      <c r="D15" s="8">
        <f t="shared" si="3"/>
        <v>-34918</v>
      </c>
      <c r="G15" s="7" t="s">
        <v>52</v>
      </c>
      <c r="H15" s="11" t="s">
        <v>53</v>
      </c>
      <c r="I15" s="9" t="str">
        <f t="shared" si="0"/>
        <v>0</v>
      </c>
      <c r="J15" s="9" t="str">
        <f>IF(J$5="",".",MID(IF($D15&gt;0,_xlfn.BASE($D15,2,16),_xlfn.BASE($D15+65536,2,16)),ABS(16-J$5),1))</f>
        <v>1</v>
      </c>
      <c r="K15" s="9" t="str">
        <f t="shared" si="1"/>
        <v>1</v>
      </c>
      <c r="L15" s="9" t="str">
        <f t="shared" si="1"/>
        <v>1</v>
      </c>
      <c r="M15" s="9" t="str">
        <f t="shared" si="1"/>
        <v>.</v>
      </c>
      <c r="N15" s="9" t="str">
        <f t="shared" si="1"/>
        <v>0</v>
      </c>
      <c r="O15" s="9" t="str">
        <f t="shared" si="1"/>
        <v>1</v>
      </c>
      <c r="P15" s="9" t="str">
        <f t="shared" si="1"/>
        <v>1</v>
      </c>
      <c r="Q15" s="9" t="str">
        <f t="shared" si="1"/>
        <v>1</v>
      </c>
      <c r="R15" s="9" t="str">
        <f t="shared" si="1"/>
        <v>.</v>
      </c>
      <c r="S15" s="9" t="str">
        <f t="shared" si="1"/>
        <v>1</v>
      </c>
      <c r="T15" s="9" t="str">
        <f t="shared" si="1"/>
        <v>0</v>
      </c>
      <c r="U15" s="9" t="str">
        <f t="shared" si="1"/>
        <v>0</v>
      </c>
      <c r="V15" s="9" t="str">
        <f t="shared" si="1"/>
        <v>1</v>
      </c>
      <c r="W15" s="9" t="str">
        <f t="shared" si="1"/>
        <v>.</v>
      </c>
      <c r="X15" s="9" t="str">
        <f t="shared" si="1"/>
        <v>1</v>
      </c>
      <c r="Y15" s="9" t="str">
        <f t="shared" si="1"/>
        <v>0</v>
      </c>
      <c r="Z15" s="9" t="str">
        <f t="shared" si="1"/>
        <v>1</v>
      </c>
      <c r="AA15" s="9" t="str">
        <f t="shared" si="1"/>
        <v>0</v>
      </c>
      <c r="AB15" s="19"/>
      <c r="AC15" t="str">
        <f t="shared" si="2"/>
        <v/>
      </c>
    </row>
    <row r="16" spans="1:39" x14ac:dyDescent="0.3">
      <c r="B16" s="7" t="s">
        <v>54</v>
      </c>
      <c r="C16" s="10" t="s">
        <v>55</v>
      </c>
      <c r="D16" s="8">
        <f t="shared" si="3"/>
        <v>-7682</v>
      </c>
      <c r="G16" s="7" t="s">
        <v>56</v>
      </c>
      <c r="H16" s="11" t="s">
        <v>57</v>
      </c>
      <c r="I16" s="9" t="str">
        <f t="shared" si="0"/>
        <v>1</v>
      </c>
      <c r="J16" s="9" t="str">
        <f t="shared" si="1"/>
        <v>1</v>
      </c>
      <c r="K16" s="9" t="str">
        <f t="shared" si="1"/>
        <v>1</v>
      </c>
      <c r="L16" s="9" t="str">
        <f t="shared" si="1"/>
        <v>0</v>
      </c>
      <c r="M16" s="9" t="str">
        <f t="shared" si="1"/>
        <v>.</v>
      </c>
      <c r="N16" s="9" t="str">
        <f t="shared" si="1"/>
        <v>0</v>
      </c>
      <c r="O16" s="9" t="str">
        <f t="shared" si="1"/>
        <v>0</v>
      </c>
      <c r="P16" s="9" t="str">
        <f t="shared" si="1"/>
        <v>0</v>
      </c>
      <c r="Q16" s="9" t="str">
        <f t="shared" si="1"/>
        <v>1</v>
      </c>
      <c r="R16" s="9" t="str">
        <f t="shared" si="1"/>
        <v>.</v>
      </c>
      <c r="S16" s="9" t="str">
        <f t="shared" si="1"/>
        <v>1</v>
      </c>
      <c r="T16" s="9" t="str">
        <f t="shared" si="1"/>
        <v>1</v>
      </c>
      <c r="U16" s="9" t="str">
        <f t="shared" si="1"/>
        <v>1</v>
      </c>
      <c r="V16" s="9" t="str">
        <f t="shared" si="1"/>
        <v>1</v>
      </c>
      <c r="W16" s="9" t="str">
        <f t="shared" si="1"/>
        <v>.</v>
      </c>
      <c r="X16" s="9" t="str">
        <f t="shared" si="1"/>
        <v>1</v>
      </c>
      <c r="Y16" s="9" t="str">
        <f t="shared" si="1"/>
        <v>1</v>
      </c>
      <c r="Z16" s="9" t="str">
        <f t="shared" si="1"/>
        <v>1</v>
      </c>
      <c r="AA16" s="9" t="str">
        <f>IF(AA$5="",".",MID(IF($D16&gt;0,_xlfn.BASE($D16,2,16),_xlfn.BASE($D16+65536,2,16)),ABS(16-AA$5),1))</f>
        <v>0</v>
      </c>
      <c r="AB16" s="19"/>
      <c r="AC16" t="str">
        <f t="shared" si="2"/>
        <v/>
      </c>
    </row>
    <row r="17" spans="2:35" x14ac:dyDescent="0.3">
      <c r="B17" s="7" t="s">
        <v>58</v>
      </c>
      <c r="C17" s="10" t="s">
        <v>59</v>
      </c>
      <c r="D17" s="8">
        <f t="shared" si="3"/>
        <v>-30618</v>
      </c>
      <c r="G17" s="7" t="s">
        <v>60</v>
      </c>
      <c r="H17" s="11" t="s">
        <v>61</v>
      </c>
      <c r="I17" s="9" t="str">
        <f t="shared" si="0"/>
        <v>1</v>
      </c>
      <c r="J17" s="9" t="str">
        <f t="shared" si="1"/>
        <v>0</v>
      </c>
      <c r="K17" s="9" t="str">
        <f t="shared" si="1"/>
        <v>0</v>
      </c>
      <c r="L17" s="9" t="str">
        <f t="shared" si="1"/>
        <v>0</v>
      </c>
      <c r="M17" s="9" t="str">
        <f t="shared" si="1"/>
        <v>.</v>
      </c>
      <c r="N17" s="9" t="str">
        <f t="shared" si="1"/>
        <v>1</v>
      </c>
      <c r="O17" s="9" t="str">
        <f t="shared" si="1"/>
        <v>0</v>
      </c>
      <c r="P17" s="9" t="str">
        <f t="shared" si="1"/>
        <v>0</v>
      </c>
      <c r="Q17" s="9" t="str">
        <f t="shared" si="1"/>
        <v>0</v>
      </c>
      <c r="R17" s="9" t="str">
        <f t="shared" si="1"/>
        <v>.</v>
      </c>
      <c r="S17" s="9" t="str">
        <f t="shared" si="1"/>
        <v>0</v>
      </c>
      <c r="T17" s="9" t="str">
        <f t="shared" si="1"/>
        <v>1</v>
      </c>
      <c r="U17" s="9" t="str">
        <f t="shared" si="1"/>
        <v>1</v>
      </c>
      <c r="V17" s="9" t="str">
        <f t="shared" si="1"/>
        <v>0</v>
      </c>
      <c r="W17" s="9" t="str">
        <f t="shared" si="1"/>
        <v>.</v>
      </c>
      <c r="X17" s="9" t="str">
        <f t="shared" si="1"/>
        <v>0</v>
      </c>
      <c r="Y17" s="9" t="str">
        <f t="shared" si="1"/>
        <v>1</v>
      </c>
      <c r="Z17" s="9" t="str">
        <f t="shared" si="1"/>
        <v>1</v>
      </c>
      <c r="AA17" s="9" t="str">
        <f t="shared" si="1"/>
        <v>0</v>
      </c>
      <c r="AB17" s="19"/>
      <c r="AC17" t="str">
        <f t="shared" si="2"/>
        <v/>
      </c>
    </row>
    <row r="20" spans="2:35" x14ac:dyDescent="0.3">
      <c r="G20" s="8" t="s">
        <v>6</v>
      </c>
      <c r="I20" s="8">
        <f>IF(I21=".",J20,IF((J20+I21+I22) &gt;= 2,1,0))</f>
        <v>0</v>
      </c>
      <c r="J20" s="8">
        <f t="shared" ref="J20:Y20" si="4">IF(J21=".",K20,IF((K20+J21+J22) &gt;= 2,1,0))</f>
        <v>0</v>
      </c>
      <c r="K20" s="8">
        <f t="shared" si="4"/>
        <v>1</v>
      </c>
      <c r="L20" s="8">
        <f t="shared" si="4"/>
        <v>1</v>
      </c>
      <c r="M20" s="8">
        <f t="shared" si="4"/>
        <v>1</v>
      </c>
      <c r="N20" s="8">
        <f t="shared" si="4"/>
        <v>1</v>
      </c>
      <c r="O20" s="8">
        <f t="shared" si="4"/>
        <v>1</v>
      </c>
      <c r="P20" s="8">
        <f t="shared" si="4"/>
        <v>1</v>
      </c>
      <c r="Q20" s="8">
        <f t="shared" si="4"/>
        <v>1</v>
      </c>
      <c r="R20" s="8">
        <f t="shared" si="4"/>
        <v>0</v>
      </c>
      <c r="S20" s="8">
        <f t="shared" si="4"/>
        <v>0</v>
      </c>
      <c r="T20" s="8">
        <f t="shared" si="4"/>
        <v>1</v>
      </c>
      <c r="U20" s="8">
        <f t="shared" si="4"/>
        <v>1</v>
      </c>
      <c r="V20" s="8">
        <f t="shared" si="4"/>
        <v>1</v>
      </c>
      <c r="W20" s="8">
        <f t="shared" si="4"/>
        <v>0</v>
      </c>
      <c r="X20" s="8">
        <f t="shared" si="4"/>
        <v>0</v>
      </c>
      <c r="Y20" s="8">
        <f t="shared" si="4"/>
        <v>0</v>
      </c>
      <c r="Z20" s="8">
        <f>IF(Z21=".",AA20,IF((AA20+Z21+Z22) &gt;= 2,1,0))</f>
        <v>0</v>
      </c>
      <c r="AA20" s="8">
        <f>IF(AA21=".",AB20,IF((AB20+AA21+AA22) &gt;= 2,1,0))</f>
        <v>0</v>
      </c>
    </row>
    <row r="21" spans="2:35" ht="16.2" x14ac:dyDescent="0.3">
      <c r="C21" t="s">
        <v>17</v>
      </c>
      <c r="D21" t="s">
        <v>24</v>
      </c>
      <c r="F21" s="22" t="s">
        <v>23</v>
      </c>
      <c r="G21" s="8" t="s">
        <v>62</v>
      </c>
      <c r="I21" s="9" t="str">
        <f>I6</f>
        <v>0</v>
      </c>
      <c r="J21" s="9" t="str">
        <f t="shared" ref="J21:AA22" si="5">J6</f>
        <v>0</v>
      </c>
      <c r="K21" s="9" t="str">
        <f t="shared" si="5"/>
        <v>0</v>
      </c>
      <c r="L21" s="9" t="str">
        <f t="shared" si="5"/>
        <v>1</v>
      </c>
      <c r="M21" s="9" t="str">
        <f t="shared" si="5"/>
        <v>.</v>
      </c>
      <c r="N21" s="9" t="str">
        <f t="shared" si="5"/>
        <v>1</v>
      </c>
      <c r="O21" s="9" t="str">
        <f t="shared" si="5"/>
        <v>0</v>
      </c>
      <c r="P21" s="9" t="str">
        <f t="shared" si="5"/>
        <v>0</v>
      </c>
      <c r="Q21" s="9" t="str">
        <f t="shared" si="5"/>
        <v>1</v>
      </c>
      <c r="R21" s="9" t="str">
        <f t="shared" si="5"/>
        <v>.</v>
      </c>
      <c r="S21" s="9" t="str">
        <f t="shared" si="5"/>
        <v>0</v>
      </c>
      <c r="T21" s="9" t="str">
        <f t="shared" si="5"/>
        <v>1</v>
      </c>
      <c r="U21" s="9" t="str">
        <f t="shared" si="5"/>
        <v>1</v>
      </c>
      <c r="V21" s="9" t="str">
        <f t="shared" si="5"/>
        <v>1</v>
      </c>
      <c r="W21" s="9" t="str">
        <f t="shared" si="5"/>
        <v>.</v>
      </c>
      <c r="X21" s="9" t="str">
        <f t="shared" si="5"/>
        <v>0</v>
      </c>
      <c r="Y21" s="9" t="str">
        <f t="shared" si="5"/>
        <v>1</v>
      </c>
      <c r="Z21" s="9" t="str">
        <f t="shared" si="5"/>
        <v>1</v>
      </c>
      <c r="AA21" s="9" t="str">
        <f t="shared" si="5"/>
        <v>0</v>
      </c>
      <c r="AB21" s="19" t="s">
        <v>5</v>
      </c>
      <c r="AE21" s="22" t="s">
        <v>23</v>
      </c>
      <c r="AF21" s="12" t="s">
        <v>63</v>
      </c>
      <c r="AG21">
        <f>D6</f>
        <v>6518</v>
      </c>
      <c r="AH21" s="19" t="s">
        <v>7</v>
      </c>
    </row>
    <row r="22" spans="2:35" ht="15" thickBot="1" x14ac:dyDescent="0.35">
      <c r="F22" s="22"/>
      <c r="G22" s="13" t="s">
        <v>64</v>
      </c>
      <c r="I22" s="14" t="str">
        <f>I7</f>
        <v>0</v>
      </c>
      <c r="J22" s="14" t="str">
        <f t="shared" si="5"/>
        <v>0</v>
      </c>
      <c r="K22" s="14" t="str">
        <f t="shared" si="5"/>
        <v>1</v>
      </c>
      <c r="L22" s="14" t="str">
        <f t="shared" si="5"/>
        <v>1</v>
      </c>
      <c r="M22" s="14" t="str">
        <f t="shared" si="5"/>
        <v>.</v>
      </c>
      <c r="N22" s="14" t="str">
        <f t="shared" si="5"/>
        <v>0</v>
      </c>
      <c r="O22" s="14" t="str">
        <f t="shared" si="5"/>
        <v>1</v>
      </c>
      <c r="P22" s="14" t="str">
        <f t="shared" si="5"/>
        <v>1</v>
      </c>
      <c r="Q22" s="14" t="str">
        <f t="shared" si="5"/>
        <v>1</v>
      </c>
      <c r="R22" s="14" t="str">
        <f t="shared" si="5"/>
        <v>.</v>
      </c>
      <c r="S22" s="14" t="str">
        <f t="shared" si="5"/>
        <v>0</v>
      </c>
      <c r="T22" s="14" t="str">
        <f t="shared" si="5"/>
        <v>1</v>
      </c>
      <c r="U22" s="14" t="str">
        <f t="shared" si="5"/>
        <v>1</v>
      </c>
      <c r="V22" s="14" t="str">
        <f t="shared" si="5"/>
        <v>1</v>
      </c>
      <c r="W22" s="14" t="str">
        <f t="shared" si="5"/>
        <v>.</v>
      </c>
      <c r="X22" s="14" t="str">
        <f t="shared" si="5"/>
        <v>1</v>
      </c>
      <c r="Y22" s="14" t="str">
        <f t="shared" si="5"/>
        <v>0</v>
      </c>
      <c r="Z22" s="14" t="str">
        <f t="shared" si="5"/>
        <v>0</v>
      </c>
      <c r="AA22" s="14" t="str">
        <f t="shared" si="5"/>
        <v>0</v>
      </c>
      <c r="AB22" s="19" t="s">
        <v>5</v>
      </c>
      <c r="AE22" s="22"/>
      <c r="AF22" s="15" t="s">
        <v>65</v>
      </c>
      <c r="AG22" s="16">
        <f>D7</f>
        <v>14200</v>
      </c>
      <c r="AH22" s="19" t="s">
        <v>7</v>
      </c>
    </row>
    <row r="23" spans="2:35" x14ac:dyDescent="0.3">
      <c r="G23" s="8" t="s">
        <v>9</v>
      </c>
      <c r="I23" s="9">
        <f t="shared" ref="I23:Z23" si="6">IF(I22=".",".",MOD(I22+I21+J20,2))</f>
        <v>0</v>
      </c>
      <c r="J23" s="9">
        <f t="shared" si="6"/>
        <v>1</v>
      </c>
      <c r="K23" s="9">
        <f t="shared" si="6"/>
        <v>0</v>
      </c>
      <c r="L23" s="9">
        <f t="shared" si="6"/>
        <v>1</v>
      </c>
      <c r="M23" s="9" t="str">
        <f t="shared" si="6"/>
        <v>.</v>
      </c>
      <c r="N23" s="9">
        <f t="shared" si="6"/>
        <v>0</v>
      </c>
      <c r="O23" s="9">
        <f t="shared" si="6"/>
        <v>0</v>
      </c>
      <c r="P23" s="9">
        <f t="shared" si="6"/>
        <v>0</v>
      </c>
      <c r="Q23" s="9">
        <f t="shared" si="6"/>
        <v>0</v>
      </c>
      <c r="R23" s="9" t="str">
        <f t="shared" si="6"/>
        <v>.</v>
      </c>
      <c r="S23" s="9">
        <f t="shared" si="6"/>
        <v>1</v>
      </c>
      <c r="T23" s="9">
        <f t="shared" si="6"/>
        <v>1</v>
      </c>
      <c r="U23" s="9">
        <f t="shared" si="6"/>
        <v>1</v>
      </c>
      <c r="V23" s="9">
        <f t="shared" si="6"/>
        <v>0</v>
      </c>
      <c r="W23" s="9" t="str">
        <f t="shared" si="6"/>
        <v>.</v>
      </c>
      <c r="X23" s="9">
        <f t="shared" si="6"/>
        <v>1</v>
      </c>
      <c r="Y23" s="9">
        <f t="shared" si="6"/>
        <v>1</v>
      </c>
      <c r="Z23" s="9">
        <f t="shared" si="6"/>
        <v>1</v>
      </c>
      <c r="AA23" s="9">
        <f>IF(AA22=".",".",MOD(AA22+AA21+AB20,2))</f>
        <v>0</v>
      </c>
      <c r="AB23" s="11" t="s">
        <v>8</v>
      </c>
      <c r="AC23">
        <f>IF(I23=0,_xlfn.DECIMAL(I23&amp;J23&amp;K23&amp;L23&amp;N23&amp;O23&amp;P23&amp;Q23&amp;S23&amp;T23&amp;U23&amp;V23&amp;X23&amp;Y23&amp;Z23&amp;AA23,2),(-1)*_xlfn.DECIMAL(I24&amp;J24&amp;K24&amp;L24&amp;N24&amp;O24&amp;P24&amp;Q24&amp;S24&amp;T24&amp;U24&amp;V24&amp;X24&amp;Y24&amp;Z24&amp;AA24,2))</f>
        <v>20718</v>
      </c>
      <c r="AD23" s="19" t="s">
        <v>7</v>
      </c>
      <c r="AE23" s="19"/>
      <c r="AG23">
        <f>AG21+AG22</f>
        <v>20718</v>
      </c>
      <c r="AH23" s="19" t="s">
        <v>7</v>
      </c>
      <c r="AI23" t="str">
        <f>IF(AND(AC23=AG23,AC23&gt;=0,J25=0,AG21&gt;=0,AG22&gt;=0),$AL$6,IF(AND(OR(AND(AG21&gt;=0,AG22&lt;0),AND(AG21&lt;0,AG22&gt;=0)),AC23=AG23),$AL$8,IF(AND(AG21&gt;=0,AG22&gt;=0,Y25=1,AC23&lt;&gt;AG23),$AL$7,IF(AND(AG21&lt;0,AG22&lt;0,AC23&gt;=0,Y25=1),$AL$9,IF(AND(AG21&lt;0,AG22&lt;0,AC23=AG23),$AL$10,"Ошибка с входными данными")))))</f>
        <v>В ходе операции сложения двух неотрицательных чисел был получен корректный результат.</v>
      </c>
    </row>
    <row r="24" spans="2:35" x14ac:dyDescent="0.3">
      <c r="G24" s="8" t="s">
        <v>10</v>
      </c>
      <c r="I24" s="8" t="str">
        <f>IF(I$5="",".",MID(IF($I23=1,_xlfn.BASE(ABS(_xlfn.DECIMAL($I23&amp;$J23&amp;$K23&amp;$L23&amp;$N23&amp;$O23&amp;$P23&amp;$Q23&amp;$S23&amp;$T23&amp;$U23&amp;$V23&amp;$X23&amp;$Y23&amp;$Z23&amp;$AA23,2)-2^16),2,16),""),ABS(16-I$5),1))</f>
        <v/>
      </c>
      <c r="J24" s="8" t="str">
        <f t="shared" ref="J24:AA24" si="7">IF(J$5="",".",MID(IF($I23=1,_xlfn.BASE(ABS(_xlfn.DECIMAL($I23&amp;$J23&amp;$K23&amp;$L23&amp;$N23&amp;$O23&amp;$P23&amp;$Q23&amp;$S23&amp;$T23&amp;$U23&amp;$V23&amp;$X23&amp;$Y23&amp;$Z23&amp;$AA23,2)-2^16),2,16),""),ABS(16-J$5),1))</f>
        <v/>
      </c>
      <c r="K24" s="8" t="str">
        <f t="shared" si="7"/>
        <v/>
      </c>
      <c r="L24" s="8" t="str">
        <f t="shared" si="7"/>
        <v/>
      </c>
      <c r="M24" s="8" t="str">
        <f t="shared" si="7"/>
        <v>.</v>
      </c>
      <c r="N24" s="8" t="str">
        <f t="shared" si="7"/>
        <v/>
      </c>
      <c r="O24" s="8" t="str">
        <f t="shared" si="7"/>
        <v/>
      </c>
      <c r="P24" s="8" t="str">
        <f t="shared" si="7"/>
        <v/>
      </c>
      <c r="Q24" s="8" t="str">
        <f t="shared" si="7"/>
        <v/>
      </c>
      <c r="R24" s="8" t="str">
        <f t="shared" si="7"/>
        <v>.</v>
      </c>
      <c r="S24" s="8" t="str">
        <f t="shared" si="7"/>
        <v/>
      </c>
      <c r="T24" s="8" t="str">
        <f t="shared" si="7"/>
        <v/>
      </c>
      <c r="U24" s="8" t="str">
        <f t="shared" si="7"/>
        <v/>
      </c>
      <c r="V24" s="8" t="str">
        <f t="shared" si="7"/>
        <v/>
      </c>
      <c r="W24" s="8" t="str">
        <f t="shared" si="7"/>
        <v>.</v>
      </c>
      <c r="X24" s="8" t="str">
        <f t="shared" si="7"/>
        <v/>
      </c>
      <c r="Y24" s="8" t="str">
        <f t="shared" si="7"/>
        <v/>
      </c>
      <c r="Z24" s="8" t="str">
        <f t="shared" si="7"/>
        <v/>
      </c>
      <c r="AA24" s="8" t="str">
        <f t="shared" si="7"/>
        <v/>
      </c>
    </row>
    <row r="25" spans="2:35" x14ac:dyDescent="0.3">
      <c r="I25" t="s">
        <v>11</v>
      </c>
      <c r="J25" s="8">
        <f>I20</f>
        <v>0</v>
      </c>
      <c r="L25" t="s">
        <v>12</v>
      </c>
      <c r="M25" s="8">
        <f>MOD(S23+T23+U23+V23+X23+Y23+Z23+AA23,2)</f>
        <v>0</v>
      </c>
      <c r="O25" t="s">
        <v>13</v>
      </c>
      <c r="P25" s="8">
        <f>X20</f>
        <v>0</v>
      </c>
      <c r="R25" t="s">
        <v>14</v>
      </c>
      <c r="S25" s="8">
        <f>IF(AC23=0,1,0)</f>
        <v>0</v>
      </c>
      <c r="U25" t="s">
        <v>16</v>
      </c>
      <c r="V25" s="8">
        <f>I23</f>
        <v>0</v>
      </c>
      <c r="X25" t="s">
        <v>15</v>
      </c>
      <c r="Y25" s="8">
        <f>MOD(J20+I20,2)</f>
        <v>0</v>
      </c>
    </row>
    <row r="28" spans="2:35" x14ac:dyDescent="0.3">
      <c r="G28" s="8" t="s">
        <v>6</v>
      </c>
      <c r="I28" s="8">
        <f t="shared" ref="I28" si="8">IF(I29=".",J28,IF((J28+I29+I30) &gt;= 2,1,0))</f>
        <v>0</v>
      </c>
      <c r="J28" s="8">
        <f t="shared" ref="J28" si="9">IF(J29=".",K28,IF((K28+J29+J30) &gt;= 2,1,0))</f>
        <v>1</v>
      </c>
      <c r="K28" s="8">
        <f t="shared" ref="K28" si="10">IF(K29=".",L28,IF((L28+K29+K30) &gt;= 2,1,0))</f>
        <v>1</v>
      </c>
      <c r="L28" s="8">
        <f t="shared" ref="L28" si="11">IF(L29=".",M28,IF((M28+L29+L30) &gt;= 2,1,0))</f>
        <v>1</v>
      </c>
      <c r="M28" s="8">
        <f t="shared" ref="M28" si="12">IF(M29=".",N28,IF((N28+M29+M30) &gt;= 2,1,0))</f>
        <v>0</v>
      </c>
      <c r="N28" s="8">
        <f t="shared" ref="N28" si="13">IF(N29=".",O28,IF((O28+N29+N30) &gt;= 2,1,0))</f>
        <v>0</v>
      </c>
      <c r="O28" s="8">
        <f t="shared" ref="O28" si="14">IF(O29=".",P28,IF((P28+O29+O30) &gt;= 2,1,0))</f>
        <v>1</v>
      </c>
      <c r="P28" s="8">
        <f t="shared" ref="P28" si="15">IF(P29=".",Q28,IF((Q28+P29+P30) &gt;= 2,1,0))</f>
        <v>1</v>
      </c>
      <c r="Q28" s="8">
        <f t="shared" ref="Q28" si="16">IF(Q29=".",R28,IF((R28+Q29+Q30) &gt;= 2,1,0))</f>
        <v>1</v>
      </c>
      <c r="R28" s="8">
        <f t="shared" ref="R28" si="17">IF(R29=".",S28,IF((S28+R29+R30) &gt;= 2,1,0))</f>
        <v>1</v>
      </c>
      <c r="S28" s="8">
        <f t="shared" ref="S28" si="18">IF(S29=".",T28,IF((T28+S29+S30) &gt;= 2,1,0))</f>
        <v>1</v>
      </c>
      <c r="T28" s="8">
        <f t="shared" ref="T28" si="19">IF(T29=".",U28,IF((U28+T29+T30) &gt;= 2,1,0))</f>
        <v>1</v>
      </c>
      <c r="U28" s="8">
        <f t="shared" ref="U28" si="20">IF(U29=".",V28,IF((V28+U29+U30) &gt;= 2,1,0))</f>
        <v>1</v>
      </c>
      <c r="V28" s="8">
        <f t="shared" ref="V28" si="21">IF(V29=".",W28,IF((W28+V29+V30) &gt;= 2,1,0))</f>
        <v>1</v>
      </c>
      <c r="W28" s="8">
        <f t="shared" ref="W28" si="22">IF(W29=".",X28,IF((X28+W29+W30) &gt;= 2,1,0))</f>
        <v>1</v>
      </c>
      <c r="X28" s="8">
        <f t="shared" ref="X28" si="23">IF(X29=".",Y28,IF((Y28+X29+X30) &gt;= 2,1,0))</f>
        <v>1</v>
      </c>
      <c r="Y28" s="8">
        <f t="shared" ref="Y28" si="24">IF(Y29=".",Z28,IF((Z28+Y29+Y30) &gt;= 2,1,0))</f>
        <v>0</v>
      </c>
      <c r="Z28" s="8">
        <f>IF(Z29=".",AA28,IF((AA28+Z29+Z30) &gt;= 2,1,0))</f>
        <v>0</v>
      </c>
      <c r="AA28" s="8">
        <f>IF(AA29=".",AB28,IF((AB28+AA29+AA30) &gt;= 2,1,0))</f>
        <v>0</v>
      </c>
    </row>
    <row r="29" spans="2:35" x14ac:dyDescent="0.3">
      <c r="F29" s="22" t="s">
        <v>23</v>
      </c>
      <c r="G29" s="8" t="s">
        <v>66</v>
      </c>
      <c r="I29" s="9" t="str">
        <f>I7</f>
        <v>0</v>
      </c>
      <c r="J29" s="9" t="str">
        <f t="shared" ref="J29:AA29" si="25">J7</f>
        <v>0</v>
      </c>
      <c r="K29" s="9" t="str">
        <f t="shared" si="25"/>
        <v>1</v>
      </c>
      <c r="L29" s="9" t="str">
        <f t="shared" si="25"/>
        <v>1</v>
      </c>
      <c r="M29" s="9" t="str">
        <f t="shared" si="25"/>
        <v>.</v>
      </c>
      <c r="N29" s="9" t="str">
        <f t="shared" si="25"/>
        <v>0</v>
      </c>
      <c r="O29" s="9" t="str">
        <f t="shared" si="25"/>
        <v>1</v>
      </c>
      <c r="P29" s="9" t="str">
        <f t="shared" si="25"/>
        <v>1</v>
      </c>
      <c r="Q29" s="9" t="str">
        <f t="shared" si="25"/>
        <v>1</v>
      </c>
      <c r="R29" s="9" t="str">
        <f t="shared" si="25"/>
        <v>.</v>
      </c>
      <c r="S29" s="9" t="str">
        <f t="shared" si="25"/>
        <v>0</v>
      </c>
      <c r="T29" s="9" t="str">
        <f t="shared" si="25"/>
        <v>1</v>
      </c>
      <c r="U29" s="9" t="str">
        <f t="shared" si="25"/>
        <v>1</v>
      </c>
      <c r="V29" s="9" t="str">
        <f t="shared" si="25"/>
        <v>1</v>
      </c>
      <c r="W29" s="9" t="str">
        <f t="shared" si="25"/>
        <v>.</v>
      </c>
      <c r="X29" s="9" t="str">
        <f t="shared" si="25"/>
        <v>1</v>
      </c>
      <c r="Y29" s="9" t="str">
        <f t="shared" si="25"/>
        <v>0</v>
      </c>
      <c r="Z29" s="9" t="str">
        <f t="shared" si="25"/>
        <v>0</v>
      </c>
      <c r="AA29" s="9" t="str">
        <f t="shared" si="25"/>
        <v>0</v>
      </c>
      <c r="AB29" s="19" t="s">
        <v>5</v>
      </c>
      <c r="AE29" s="22" t="s">
        <v>23</v>
      </c>
      <c r="AF29" s="7" t="s">
        <v>65</v>
      </c>
      <c r="AG29">
        <f>D7</f>
        <v>14200</v>
      </c>
      <c r="AH29" s="19" t="s">
        <v>7</v>
      </c>
    </row>
    <row r="30" spans="2:35" ht="15" thickBot="1" x14ac:dyDescent="0.35">
      <c r="F30" s="22"/>
      <c r="G30" s="13" t="s">
        <v>67</v>
      </c>
      <c r="I30" s="14" t="str">
        <f>I8</f>
        <v>0</v>
      </c>
      <c r="J30" s="14" t="str">
        <f t="shared" ref="J30:AA30" si="26">J8</f>
        <v>1</v>
      </c>
      <c r="K30" s="14" t="str">
        <f t="shared" si="26"/>
        <v>0</v>
      </c>
      <c r="L30" s="14" t="str">
        <f t="shared" si="26"/>
        <v>1</v>
      </c>
      <c r="M30" s="14" t="str">
        <f t="shared" si="26"/>
        <v>.</v>
      </c>
      <c r="N30" s="14" t="str">
        <f t="shared" si="26"/>
        <v>0</v>
      </c>
      <c r="O30" s="14" t="str">
        <f t="shared" si="26"/>
        <v>0</v>
      </c>
      <c r="P30" s="14" t="str">
        <f t="shared" si="26"/>
        <v>0</v>
      </c>
      <c r="Q30" s="14" t="str">
        <f t="shared" si="26"/>
        <v>0</v>
      </c>
      <c r="R30" s="14" t="str">
        <f t="shared" si="26"/>
        <v>.</v>
      </c>
      <c r="S30" s="14" t="str">
        <f t="shared" si="26"/>
        <v>1</v>
      </c>
      <c r="T30" s="14" t="str">
        <f t="shared" si="26"/>
        <v>1</v>
      </c>
      <c r="U30" s="14" t="str">
        <f t="shared" si="26"/>
        <v>1</v>
      </c>
      <c r="V30" s="14" t="str">
        <f t="shared" si="26"/>
        <v>0</v>
      </c>
      <c r="W30" s="14" t="str">
        <f t="shared" si="26"/>
        <v>.</v>
      </c>
      <c r="X30" s="14" t="str">
        <f t="shared" si="26"/>
        <v>1</v>
      </c>
      <c r="Y30" s="14" t="str">
        <f t="shared" si="26"/>
        <v>1</v>
      </c>
      <c r="Z30" s="14" t="str">
        <f t="shared" si="26"/>
        <v>1</v>
      </c>
      <c r="AA30" s="14" t="str">
        <f t="shared" si="26"/>
        <v>0</v>
      </c>
      <c r="AB30" s="19" t="s">
        <v>5</v>
      </c>
      <c r="AE30" s="22"/>
      <c r="AF30" s="17" t="s">
        <v>68</v>
      </c>
      <c r="AG30" s="16">
        <f>D8</f>
        <v>20718</v>
      </c>
      <c r="AH30" s="19" t="s">
        <v>7</v>
      </c>
    </row>
    <row r="31" spans="2:35" x14ac:dyDescent="0.3">
      <c r="G31" s="8" t="s">
        <v>9</v>
      </c>
      <c r="I31" s="9">
        <f t="shared" ref="I31" si="27">IF(I30=".",".",MOD(I30+I29+J28,2))</f>
        <v>1</v>
      </c>
      <c r="J31" s="9">
        <f t="shared" ref="J31" si="28">IF(J30=".",".",MOD(J30+J29+K28,2))</f>
        <v>0</v>
      </c>
      <c r="K31" s="9">
        <f t="shared" ref="K31" si="29">IF(K30=".",".",MOD(K30+K29+L28,2))</f>
        <v>0</v>
      </c>
      <c r="L31" s="9">
        <f t="shared" ref="L31" si="30">IF(L30=".",".",MOD(L30+L29+M28,2))</f>
        <v>0</v>
      </c>
      <c r="M31" s="9" t="str">
        <f t="shared" ref="M31" si="31">IF(M30=".",".",MOD(M30+M29+N28,2))</f>
        <v>.</v>
      </c>
      <c r="N31" s="9">
        <f t="shared" ref="N31" si="32">IF(N30=".",".",MOD(N30+N29+O28,2))</f>
        <v>1</v>
      </c>
      <c r="O31" s="9">
        <f t="shared" ref="O31" si="33">IF(O30=".",".",MOD(O30+O29+P28,2))</f>
        <v>0</v>
      </c>
      <c r="P31" s="9">
        <f t="shared" ref="P31" si="34">IF(P30=".",".",MOD(P30+P29+Q28,2))</f>
        <v>0</v>
      </c>
      <c r="Q31" s="9">
        <f t="shared" ref="Q31" si="35">IF(Q30=".",".",MOD(Q30+Q29+R28,2))</f>
        <v>0</v>
      </c>
      <c r="R31" s="9" t="str">
        <f t="shared" ref="R31" si="36">IF(R30=".",".",MOD(R30+R29+S28,2))</f>
        <v>.</v>
      </c>
      <c r="S31" s="9">
        <f t="shared" ref="S31" si="37">IF(S30=".",".",MOD(S30+S29+T28,2))</f>
        <v>0</v>
      </c>
      <c r="T31" s="9">
        <f t="shared" ref="T31" si="38">IF(T30=".",".",MOD(T30+T29+U28,2))</f>
        <v>1</v>
      </c>
      <c r="U31" s="9">
        <f t="shared" ref="U31" si="39">IF(U30=".",".",MOD(U30+U29+V28,2))</f>
        <v>1</v>
      </c>
      <c r="V31" s="9">
        <f t="shared" ref="V31" si="40">IF(V30=".",".",MOD(V30+V29+W28,2))</f>
        <v>0</v>
      </c>
      <c r="W31" s="9" t="str">
        <f t="shared" ref="W31" si="41">IF(W30=".",".",MOD(W30+W29+X28,2))</f>
        <v>.</v>
      </c>
      <c r="X31" s="9">
        <f t="shared" ref="X31" si="42">IF(X30=".",".",MOD(X30+X29+Y28,2))</f>
        <v>0</v>
      </c>
      <c r="Y31" s="9">
        <f t="shared" ref="Y31" si="43">IF(Y30=".",".",MOD(Y30+Y29+Z28,2))</f>
        <v>1</v>
      </c>
      <c r="Z31" s="9">
        <f t="shared" ref="Z31" si="44">IF(Z30=".",".",MOD(Z30+Z29+AA28,2))</f>
        <v>1</v>
      </c>
      <c r="AA31" s="9">
        <f>IF(AA30=".",".",MOD(AA30+AA29+AB28,2))</f>
        <v>0</v>
      </c>
      <c r="AB31" s="11" t="s">
        <v>8</v>
      </c>
      <c r="AC31">
        <f>IF(I31=0,_xlfn.DECIMAL(I31&amp;J31&amp;K31&amp;L31&amp;N31&amp;O31&amp;P31&amp;Q31&amp;S31&amp;T31&amp;U31&amp;V31&amp;X31&amp;Y31&amp;Z31&amp;AA31,2),(-1)*_xlfn.DECIMAL(I32&amp;J32&amp;K32&amp;L32&amp;N32&amp;O32&amp;P32&amp;Q32&amp;S32&amp;T32&amp;U32&amp;V32&amp;X32&amp;Y32&amp;Z32&amp;AA32,2))</f>
        <v>-30618</v>
      </c>
      <c r="AD31" s="19" t="s">
        <v>7</v>
      </c>
      <c r="AE31" s="19"/>
      <c r="AG31">
        <f>AG29+AG30</f>
        <v>34918</v>
      </c>
      <c r="AH31" s="19" t="s">
        <v>7</v>
      </c>
      <c r="AI31" t="str">
        <f>IF(AND(AC31=AG31,AC31&gt;=0,J33=0,AG29&gt;=0,AG30&gt;=0),$AL$6,IF(AND(OR(AND(AG29&gt;=0,AG30&lt;0),AND(AG29&lt;0,AG30&gt;=0)),AC31=AG31),$AL$8,IF(AND(AG29&gt;=0,AG30&gt;=0,Y33=1,AC31&lt;&gt;AG31),$AL$7,IF(AND(AG29&lt;0,AG30&lt;0,AC31&gt;=0,Y33=1),$AL$9,IF(AND(AG29&lt;0,AG30&lt;0,AC31=AG31),$AL$10,"Ошибка с входными данными")))))</f>
        <v>В ходе операции сложения положительных чисел получен отрицательный результат, что является признаком переполнения (Флаг OF)</v>
      </c>
    </row>
    <row r="32" spans="2:35" x14ac:dyDescent="0.3">
      <c r="G32" s="8" t="s">
        <v>10</v>
      </c>
      <c r="I32" s="8" t="str">
        <f>IF(I$5="",".",MID(IF($I31=1,_xlfn.BASE(ABS(_xlfn.DECIMAL($I31&amp;$J31&amp;$K31&amp;$L31&amp;$N31&amp;$O31&amp;$P31&amp;$Q31&amp;$S31&amp;$T31&amp;$U31&amp;$V31&amp;$X31&amp;$Y31&amp;$Z31&amp;$AA31,2)-2^16),2,16),""),ABS(16-I$5),1))</f>
        <v>0</v>
      </c>
      <c r="J32" s="8" t="str">
        <f t="shared" ref="J32" si="45">IF(J$5="",".",MID(IF($I31=1,_xlfn.BASE(ABS(_xlfn.DECIMAL($I31&amp;$J31&amp;$K31&amp;$L31&amp;$N31&amp;$O31&amp;$P31&amp;$Q31&amp;$S31&amp;$T31&amp;$U31&amp;$V31&amp;$X31&amp;$Y31&amp;$Z31&amp;$AA31,2)-2^16),2,16),""),ABS(16-J$5),1))</f>
        <v>1</v>
      </c>
      <c r="K32" s="8" t="str">
        <f t="shared" ref="K32" si="46">IF(K$5="",".",MID(IF($I31=1,_xlfn.BASE(ABS(_xlfn.DECIMAL($I31&amp;$J31&amp;$K31&amp;$L31&amp;$N31&amp;$O31&amp;$P31&amp;$Q31&amp;$S31&amp;$T31&amp;$U31&amp;$V31&amp;$X31&amp;$Y31&amp;$Z31&amp;$AA31,2)-2^16),2,16),""),ABS(16-K$5),1))</f>
        <v>1</v>
      </c>
      <c r="L32" s="8" t="str">
        <f t="shared" ref="L32" si="47">IF(L$5="",".",MID(IF($I31=1,_xlfn.BASE(ABS(_xlfn.DECIMAL($I31&amp;$J31&amp;$K31&amp;$L31&amp;$N31&amp;$O31&amp;$P31&amp;$Q31&amp;$S31&amp;$T31&amp;$U31&amp;$V31&amp;$X31&amp;$Y31&amp;$Z31&amp;$AA31,2)-2^16),2,16),""),ABS(16-L$5),1))</f>
        <v>1</v>
      </c>
      <c r="M32" s="8" t="str">
        <f t="shared" ref="M32" si="48">IF(M$5="",".",MID(IF($I31=1,_xlfn.BASE(ABS(_xlfn.DECIMAL($I31&amp;$J31&amp;$K31&amp;$L31&amp;$N31&amp;$O31&amp;$P31&amp;$Q31&amp;$S31&amp;$T31&amp;$U31&amp;$V31&amp;$X31&amp;$Y31&amp;$Z31&amp;$AA31,2)-2^16),2,16),""),ABS(16-M$5),1))</f>
        <v>.</v>
      </c>
      <c r="N32" s="8" t="str">
        <f t="shared" ref="N32" si="49">IF(N$5="",".",MID(IF($I31=1,_xlfn.BASE(ABS(_xlfn.DECIMAL($I31&amp;$J31&amp;$K31&amp;$L31&amp;$N31&amp;$O31&amp;$P31&amp;$Q31&amp;$S31&amp;$T31&amp;$U31&amp;$V31&amp;$X31&amp;$Y31&amp;$Z31&amp;$AA31,2)-2^16),2,16),""),ABS(16-N$5),1))</f>
        <v>0</v>
      </c>
      <c r="O32" s="8" t="str">
        <f t="shared" ref="O32" si="50">IF(O$5="",".",MID(IF($I31=1,_xlfn.BASE(ABS(_xlfn.DECIMAL($I31&amp;$J31&amp;$K31&amp;$L31&amp;$N31&amp;$O31&amp;$P31&amp;$Q31&amp;$S31&amp;$T31&amp;$U31&amp;$V31&amp;$X31&amp;$Y31&amp;$Z31&amp;$AA31,2)-2^16),2,16),""),ABS(16-O$5),1))</f>
        <v>1</v>
      </c>
      <c r="P32" s="8" t="str">
        <f t="shared" ref="P32" si="51">IF(P$5="",".",MID(IF($I31=1,_xlfn.BASE(ABS(_xlfn.DECIMAL($I31&amp;$J31&amp;$K31&amp;$L31&amp;$N31&amp;$O31&amp;$P31&amp;$Q31&amp;$S31&amp;$T31&amp;$U31&amp;$V31&amp;$X31&amp;$Y31&amp;$Z31&amp;$AA31,2)-2^16),2,16),""),ABS(16-P$5),1))</f>
        <v>1</v>
      </c>
      <c r="Q32" s="8" t="str">
        <f>IF(Q$5="",".",MID(IF($I31=1,_xlfn.BASE(ABS(_xlfn.DECIMAL($I31&amp;$J31&amp;$K31&amp;$L31&amp;$N31&amp;$O31&amp;$P31&amp;$Q31&amp;$S31&amp;$T31&amp;$U31&amp;$V31&amp;$X31&amp;$Y31&amp;$Z31&amp;$AA31,2)-2^16),2,16),""),ABS(16-Q$5),1))</f>
        <v>1</v>
      </c>
      <c r="R32" s="8" t="str">
        <f t="shared" ref="R32" si="52">IF(R$5="",".",MID(IF($I31=1,_xlfn.BASE(ABS(_xlfn.DECIMAL($I31&amp;$J31&amp;$K31&amp;$L31&amp;$N31&amp;$O31&amp;$P31&amp;$Q31&amp;$S31&amp;$T31&amp;$U31&amp;$V31&amp;$X31&amp;$Y31&amp;$Z31&amp;$AA31,2)-2^16),2,16),""),ABS(16-R$5),1))</f>
        <v>.</v>
      </c>
      <c r="S32" s="8" t="str">
        <f t="shared" ref="S32" si="53">IF(S$5="",".",MID(IF($I31=1,_xlfn.BASE(ABS(_xlfn.DECIMAL($I31&amp;$J31&amp;$K31&amp;$L31&amp;$N31&amp;$O31&amp;$P31&amp;$Q31&amp;$S31&amp;$T31&amp;$U31&amp;$V31&amp;$X31&amp;$Y31&amp;$Z31&amp;$AA31,2)-2^16),2,16),""),ABS(16-S$5),1))</f>
        <v>1</v>
      </c>
      <c r="T32" s="8" t="str">
        <f t="shared" ref="T32" si="54">IF(T$5="",".",MID(IF($I31=1,_xlfn.BASE(ABS(_xlfn.DECIMAL($I31&amp;$J31&amp;$K31&amp;$L31&amp;$N31&amp;$O31&amp;$P31&amp;$Q31&amp;$S31&amp;$T31&amp;$U31&amp;$V31&amp;$X31&amp;$Y31&amp;$Z31&amp;$AA31,2)-2^16),2,16),""),ABS(16-T$5),1))</f>
        <v>0</v>
      </c>
      <c r="U32" s="8" t="str">
        <f t="shared" ref="U32" si="55">IF(U$5="",".",MID(IF($I31=1,_xlfn.BASE(ABS(_xlfn.DECIMAL($I31&amp;$J31&amp;$K31&amp;$L31&amp;$N31&amp;$O31&amp;$P31&amp;$Q31&amp;$S31&amp;$T31&amp;$U31&amp;$V31&amp;$X31&amp;$Y31&amp;$Z31&amp;$AA31,2)-2^16),2,16),""),ABS(16-U$5),1))</f>
        <v>0</v>
      </c>
      <c r="V32" s="8" t="str">
        <f t="shared" ref="V32" si="56">IF(V$5="",".",MID(IF($I31=1,_xlfn.BASE(ABS(_xlfn.DECIMAL($I31&amp;$J31&amp;$K31&amp;$L31&amp;$N31&amp;$O31&amp;$P31&amp;$Q31&amp;$S31&amp;$T31&amp;$U31&amp;$V31&amp;$X31&amp;$Y31&amp;$Z31&amp;$AA31,2)-2^16),2,16),""),ABS(16-V$5),1))</f>
        <v>1</v>
      </c>
      <c r="W32" s="8" t="str">
        <f t="shared" ref="W32" si="57">IF(W$5="",".",MID(IF($I31=1,_xlfn.BASE(ABS(_xlfn.DECIMAL($I31&amp;$J31&amp;$K31&amp;$L31&amp;$N31&amp;$O31&amp;$P31&amp;$Q31&amp;$S31&amp;$T31&amp;$U31&amp;$V31&amp;$X31&amp;$Y31&amp;$Z31&amp;$AA31,2)-2^16),2,16),""),ABS(16-W$5),1))</f>
        <v>.</v>
      </c>
      <c r="X32" s="8" t="str">
        <f t="shared" ref="X32" si="58">IF(X$5="",".",MID(IF($I31=1,_xlfn.BASE(ABS(_xlfn.DECIMAL($I31&amp;$J31&amp;$K31&amp;$L31&amp;$N31&amp;$O31&amp;$P31&amp;$Q31&amp;$S31&amp;$T31&amp;$U31&amp;$V31&amp;$X31&amp;$Y31&amp;$Z31&amp;$AA31,2)-2^16),2,16),""),ABS(16-X$5),1))</f>
        <v>1</v>
      </c>
      <c r="Y32" s="8" t="str">
        <f t="shared" ref="Y32" si="59">IF(Y$5="",".",MID(IF($I31=1,_xlfn.BASE(ABS(_xlfn.DECIMAL($I31&amp;$J31&amp;$K31&amp;$L31&amp;$N31&amp;$O31&amp;$P31&amp;$Q31&amp;$S31&amp;$T31&amp;$U31&amp;$V31&amp;$X31&amp;$Y31&amp;$Z31&amp;$AA31,2)-2^16),2,16),""),ABS(16-Y$5),1))</f>
        <v>0</v>
      </c>
      <c r="Z32" s="8" t="str">
        <f t="shared" ref="Z32" si="60">IF(Z$5="",".",MID(IF($I31=1,_xlfn.BASE(ABS(_xlfn.DECIMAL($I31&amp;$J31&amp;$K31&amp;$L31&amp;$N31&amp;$O31&amp;$P31&amp;$Q31&amp;$S31&amp;$T31&amp;$U31&amp;$V31&amp;$X31&amp;$Y31&amp;$Z31&amp;$AA31,2)-2^16),2,16),""),ABS(16-Z$5),1))</f>
        <v>1</v>
      </c>
      <c r="AA32" s="8" t="str">
        <f t="shared" ref="AA32" si="61">IF(AA$5="",".",MID(IF($I31=1,_xlfn.BASE(ABS(_xlfn.DECIMAL($I31&amp;$J31&amp;$K31&amp;$L31&amp;$N31&amp;$O31&amp;$P31&amp;$Q31&amp;$S31&amp;$T31&amp;$U31&amp;$V31&amp;$X31&amp;$Y31&amp;$Z31&amp;$AA31,2)-2^16),2,16),""),ABS(16-AA$5),1))</f>
        <v>0</v>
      </c>
    </row>
    <row r="33" spans="6:35" x14ac:dyDescent="0.3">
      <c r="I33" t="s">
        <v>11</v>
      </c>
      <c r="J33" s="8">
        <f>I28</f>
        <v>0</v>
      </c>
      <c r="L33" t="s">
        <v>12</v>
      </c>
      <c r="M33" s="8">
        <f>MOD(S31+T31+U31+V31+X31+Y31+Z31+AA31,2)</f>
        <v>0</v>
      </c>
      <c r="O33" t="s">
        <v>13</v>
      </c>
      <c r="P33" s="8">
        <f>X28</f>
        <v>1</v>
      </c>
      <c r="R33" t="s">
        <v>14</v>
      </c>
      <c r="S33" s="8">
        <f>IF(AC31=0,1,0)</f>
        <v>0</v>
      </c>
      <c r="U33" t="s">
        <v>16</v>
      </c>
      <c r="V33" s="8">
        <f>I31</f>
        <v>1</v>
      </c>
      <c r="X33" t="s">
        <v>15</v>
      </c>
      <c r="Y33" s="8">
        <f>MOD(J28+I28,2)</f>
        <v>1</v>
      </c>
    </row>
    <row r="36" spans="6:35" x14ac:dyDescent="0.3">
      <c r="G36" s="8" t="s">
        <v>6</v>
      </c>
      <c r="I36" s="8">
        <f>IF(I37=".",J36,IF((J36+I37+I38) &gt;= 2,1,0))</f>
        <v>1</v>
      </c>
      <c r="J36" s="8">
        <f t="shared" ref="J36" si="62">IF(J37=".",K36,IF((K36+J37+J38) &gt;= 2,1,0))</f>
        <v>1</v>
      </c>
      <c r="K36" s="8">
        <f t="shared" ref="K36" si="63">IF(K37=".",L36,IF((L36+K37+K38) &gt;= 2,1,0))</f>
        <v>1</v>
      </c>
      <c r="L36" s="8">
        <f t="shared" ref="L36" si="64">IF(L37=".",M36,IF((M36+L37+L38) &gt;= 2,1,0))</f>
        <v>0</v>
      </c>
      <c r="M36" s="8">
        <f t="shared" ref="M36" si="65">IF(M37=".",N36,IF((N36+M37+M38) &gt;= 2,1,0))</f>
        <v>0</v>
      </c>
      <c r="N36" s="8">
        <f t="shared" ref="N36" si="66">IF(N37=".",O36,IF((O36+N37+N38) &gt;= 2,1,0))</f>
        <v>0</v>
      </c>
      <c r="O36" s="8">
        <f t="shared" ref="O36" si="67">IF(O37=".",P36,IF((P36+O37+O38) &gt;= 2,1,0))</f>
        <v>1</v>
      </c>
      <c r="P36" s="8">
        <f t="shared" ref="P36" si="68">IF(P37=".",Q36,IF((Q36+P37+P38) &gt;= 2,1,0))</f>
        <v>1</v>
      </c>
      <c r="Q36" s="8">
        <f t="shared" ref="Q36" si="69">IF(Q37=".",R36,IF((R36+Q37+Q38) &gt;= 2,1,0))</f>
        <v>1</v>
      </c>
      <c r="R36" s="8">
        <f t="shared" ref="R36" si="70">IF(R37=".",S36,IF((S36+R37+R38) &gt;= 2,1,0))</f>
        <v>1</v>
      </c>
      <c r="S36" s="8">
        <f t="shared" ref="S36" si="71">IF(S37=".",T36,IF((T36+S37+S38) &gt;= 2,1,0))</f>
        <v>1</v>
      </c>
      <c r="T36" s="8">
        <f t="shared" ref="T36" si="72">IF(T37=".",U36,IF((U36+T37+T38) &gt;= 2,1,0))</f>
        <v>1</v>
      </c>
      <c r="U36" s="8">
        <f t="shared" ref="U36" si="73">IF(U37=".",V36,IF((V36+U37+U38) &gt;= 2,1,0))</f>
        <v>1</v>
      </c>
      <c r="V36" s="8">
        <f t="shared" ref="V36" si="74">IF(V37=".",W36,IF((W36+V37+V38) &gt;= 2,1,0))</f>
        <v>1</v>
      </c>
      <c r="W36" s="8">
        <f t="shared" ref="W36" si="75">IF(W37=".",X36,IF((X36+W37+W38) &gt;= 2,1,0))</f>
        <v>1</v>
      </c>
      <c r="X36" s="8">
        <f t="shared" ref="X36" si="76">IF(X37=".",Y36,IF((Y36+X37+X38) &gt;= 2,1,0))</f>
        <v>1</v>
      </c>
      <c r="Y36" s="8">
        <f t="shared" ref="Y36" si="77">IF(Y37=".",Z36,IF((Z36+Y37+Y38) &gt;= 2,1,0))</f>
        <v>0</v>
      </c>
      <c r="Z36" s="8">
        <f>IF(Z37=".",AA36,IF((AA36+Z37+Z38) &gt;= 2,1,0))</f>
        <v>0</v>
      </c>
      <c r="AA36" s="8">
        <f>IF(AA37=".",AB36,IF((AB36+AA37+AA38) &gt;= 2,1,0))</f>
        <v>0</v>
      </c>
    </row>
    <row r="37" spans="6:35" x14ac:dyDescent="0.3">
      <c r="F37" s="22" t="s">
        <v>23</v>
      </c>
      <c r="G37" s="8" t="s">
        <v>66</v>
      </c>
      <c r="I37" s="9" t="str">
        <f>I7</f>
        <v>0</v>
      </c>
      <c r="J37" s="9" t="str">
        <f t="shared" ref="J37:AA37" si="78">J7</f>
        <v>0</v>
      </c>
      <c r="K37" s="9" t="str">
        <f t="shared" si="78"/>
        <v>1</v>
      </c>
      <c r="L37" s="9" t="str">
        <f t="shared" si="78"/>
        <v>1</v>
      </c>
      <c r="M37" s="9" t="str">
        <f t="shared" si="78"/>
        <v>.</v>
      </c>
      <c r="N37" s="9" t="str">
        <f t="shared" si="78"/>
        <v>0</v>
      </c>
      <c r="O37" s="9" t="str">
        <f t="shared" si="78"/>
        <v>1</v>
      </c>
      <c r="P37" s="9" t="str">
        <f t="shared" si="78"/>
        <v>1</v>
      </c>
      <c r="Q37" s="9" t="str">
        <f t="shared" si="78"/>
        <v>1</v>
      </c>
      <c r="R37" s="9" t="str">
        <f t="shared" si="78"/>
        <v>.</v>
      </c>
      <c r="S37" s="9" t="str">
        <f t="shared" si="78"/>
        <v>0</v>
      </c>
      <c r="T37" s="9" t="str">
        <f t="shared" si="78"/>
        <v>1</v>
      </c>
      <c r="U37" s="9" t="str">
        <f t="shared" si="78"/>
        <v>1</v>
      </c>
      <c r="V37" s="9" t="str">
        <f t="shared" si="78"/>
        <v>1</v>
      </c>
      <c r="W37" s="9" t="str">
        <f t="shared" si="78"/>
        <v>.</v>
      </c>
      <c r="X37" s="9" t="str">
        <f t="shared" si="78"/>
        <v>1</v>
      </c>
      <c r="Y37" s="9" t="str">
        <f t="shared" si="78"/>
        <v>0</v>
      </c>
      <c r="Z37" s="9" t="str">
        <f t="shared" si="78"/>
        <v>0</v>
      </c>
      <c r="AA37" s="9" t="str">
        <f t="shared" si="78"/>
        <v>0</v>
      </c>
      <c r="AB37" s="19" t="s">
        <v>5</v>
      </c>
      <c r="AE37" s="22" t="s">
        <v>23</v>
      </c>
      <c r="AF37" s="7" t="s">
        <v>65</v>
      </c>
      <c r="AG37">
        <f>D7</f>
        <v>14200</v>
      </c>
      <c r="AH37" s="19" t="s">
        <v>7</v>
      </c>
    </row>
    <row r="38" spans="6:35" ht="15" thickBot="1" x14ac:dyDescent="0.35">
      <c r="F38" s="22"/>
      <c r="G38" s="13" t="s">
        <v>69</v>
      </c>
      <c r="I38" s="14" t="str">
        <f>I12</f>
        <v>1</v>
      </c>
      <c r="J38" s="14" t="str">
        <f t="shared" ref="J38:AA38" si="79">J12</f>
        <v>1</v>
      </c>
      <c r="K38" s="14" t="str">
        <f t="shared" si="79"/>
        <v>1</v>
      </c>
      <c r="L38" s="14" t="str">
        <f t="shared" si="79"/>
        <v>0</v>
      </c>
      <c r="M38" s="14" t="str">
        <f t="shared" si="79"/>
        <v>.</v>
      </c>
      <c r="N38" s="14" t="str">
        <f t="shared" si="79"/>
        <v>0</v>
      </c>
      <c r="O38" s="14" t="str">
        <f t="shared" si="79"/>
        <v>1</v>
      </c>
      <c r="P38" s="14" t="str">
        <f t="shared" si="79"/>
        <v>1</v>
      </c>
      <c r="Q38" s="14" t="str">
        <f t="shared" si="79"/>
        <v>0</v>
      </c>
      <c r="R38" s="14" t="str">
        <f t="shared" si="79"/>
        <v>.</v>
      </c>
      <c r="S38" s="14" t="str">
        <f t="shared" si="79"/>
        <v>1</v>
      </c>
      <c r="T38" s="14" t="str">
        <f t="shared" si="79"/>
        <v>0</v>
      </c>
      <c r="U38" s="14" t="str">
        <f t="shared" si="79"/>
        <v>0</v>
      </c>
      <c r="V38" s="14" t="str">
        <f t="shared" si="79"/>
        <v>0</v>
      </c>
      <c r="W38" s="14" t="str">
        <f t="shared" si="79"/>
        <v>.</v>
      </c>
      <c r="X38" s="14" t="str">
        <f t="shared" si="79"/>
        <v>1</v>
      </c>
      <c r="Y38" s="14" t="str">
        <f t="shared" si="79"/>
        <v>0</v>
      </c>
      <c r="Z38" s="14" t="str">
        <f t="shared" si="79"/>
        <v>1</v>
      </c>
      <c r="AA38" s="14" t="str">
        <f t="shared" si="79"/>
        <v>0</v>
      </c>
      <c r="AB38" s="19" t="s">
        <v>5</v>
      </c>
      <c r="AE38" s="22"/>
      <c r="AF38" s="17" t="s">
        <v>70</v>
      </c>
      <c r="AG38" s="16">
        <f>D12</f>
        <v>-6518</v>
      </c>
      <c r="AH38" s="19" t="s">
        <v>7</v>
      </c>
    </row>
    <row r="39" spans="6:35" x14ac:dyDescent="0.3">
      <c r="G39" s="8" t="s">
        <v>9</v>
      </c>
      <c r="I39" s="9">
        <f t="shared" ref="I39" si="80">IF(I38=".",".",MOD(I38+I37+J36,2))</f>
        <v>0</v>
      </c>
      <c r="J39" s="9">
        <f t="shared" ref="J39" si="81">IF(J38=".",".",MOD(J38+J37+K36,2))</f>
        <v>0</v>
      </c>
      <c r="K39" s="9">
        <f t="shared" ref="K39" si="82">IF(K38=".",".",MOD(K38+K37+L36,2))</f>
        <v>0</v>
      </c>
      <c r="L39" s="9">
        <f t="shared" ref="L39" si="83">IF(L38=".",".",MOD(L38+L37+M36,2))</f>
        <v>1</v>
      </c>
      <c r="M39" s="9" t="str">
        <f t="shared" ref="M39" si="84">IF(M38=".",".",MOD(M38+M37+N36,2))</f>
        <v>.</v>
      </c>
      <c r="N39" s="9">
        <f t="shared" ref="N39" si="85">IF(N38=".",".",MOD(N38+N37+O36,2))</f>
        <v>1</v>
      </c>
      <c r="O39" s="9">
        <f t="shared" ref="O39" si="86">IF(O38=".",".",MOD(O38+O37+P36,2))</f>
        <v>1</v>
      </c>
      <c r="P39" s="9">
        <f t="shared" ref="P39" si="87">IF(P38=".",".",MOD(P38+P37+Q36,2))</f>
        <v>1</v>
      </c>
      <c r="Q39" s="9">
        <f t="shared" ref="Q39" si="88">IF(Q38=".",".",MOD(Q38+Q37+R36,2))</f>
        <v>0</v>
      </c>
      <c r="R39" s="9" t="str">
        <f t="shared" ref="R39" si="89">IF(R38=".",".",MOD(R38+R37+S36,2))</f>
        <v>.</v>
      </c>
      <c r="S39" s="9">
        <f t="shared" ref="S39" si="90">IF(S38=".",".",MOD(S38+S37+T36,2))</f>
        <v>0</v>
      </c>
      <c r="T39" s="9">
        <f t="shared" ref="T39" si="91">IF(T38=".",".",MOD(T38+T37+U36,2))</f>
        <v>0</v>
      </c>
      <c r="U39" s="9">
        <f t="shared" ref="U39" si="92">IF(U38=".",".",MOD(U38+U37+V36,2))</f>
        <v>0</v>
      </c>
      <c r="V39" s="9">
        <f t="shared" ref="V39" si="93">IF(V38=".",".",MOD(V38+V37+W36,2))</f>
        <v>0</v>
      </c>
      <c r="W39" s="9" t="str">
        <f t="shared" ref="W39" si="94">IF(W38=".",".",MOD(W38+W37+X36,2))</f>
        <v>.</v>
      </c>
      <c r="X39" s="9">
        <f t="shared" ref="X39" si="95">IF(X38=".",".",MOD(X38+X37+Y36,2))</f>
        <v>0</v>
      </c>
      <c r="Y39" s="9">
        <f t="shared" ref="Y39" si="96">IF(Y38=".",".",MOD(Y38+Y37+Z36,2))</f>
        <v>0</v>
      </c>
      <c r="Z39" s="9">
        <f t="shared" ref="Z39" si="97">IF(Z38=".",".",MOD(Z38+Z37+AA36,2))</f>
        <v>1</v>
      </c>
      <c r="AA39" s="9">
        <f>IF(AA38=".",".",MOD(AA38+AA37+AB36,2))</f>
        <v>0</v>
      </c>
      <c r="AB39" s="11" t="s">
        <v>8</v>
      </c>
      <c r="AC39">
        <f>IF(I39=0,_xlfn.DECIMAL(I39&amp;J39&amp;K39&amp;L39&amp;N39&amp;O39&amp;P39&amp;Q39&amp;S39&amp;T39&amp;U39&amp;V39&amp;X39&amp;Y39&amp;Z39&amp;AA39,2),(-1)*_xlfn.DECIMAL(I40&amp;J40&amp;K40&amp;L40&amp;N40&amp;O40&amp;P40&amp;Q40&amp;S40&amp;T40&amp;U40&amp;V40&amp;X40&amp;Y40&amp;Z40&amp;AA40,2))</f>
        <v>7682</v>
      </c>
      <c r="AD39" s="19" t="s">
        <v>7</v>
      </c>
      <c r="AE39" s="19"/>
      <c r="AG39">
        <f>AG37+AG38</f>
        <v>7682</v>
      </c>
      <c r="AH39" s="19" t="s">
        <v>7</v>
      </c>
      <c r="AI39" t="str">
        <f>IF(AND(AC39=AG39,AC39&gt;=0,J41=0,AG37&gt;=0,AG38&gt;=0),$AL$6,IF(AND(OR(AND(AG37&gt;=0,AG38&lt;0),AND(AG37&lt;0,AG38&gt;=0)),AC39=AG39),$AL$8,IF(AND(AG37&gt;=0,AG38&gt;=0,Y41=1,AC39&lt;&gt;AG39),$AL$7,IF(AND(AG37&lt;0,AG38&lt;0,AC39&gt;=0,Y41=1),$AL$9,IF(AND(AG37&lt;0,AG38&lt;0,AC39=AG39),$AL$10,"Ошибка с входными данными")))))</f>
        <v>В ходе операции сложения неотрицательного и отрицательного чисел был получен корректный результат. При том перенос за разрядную сетку не учитывается</v>
      </c>
    </row>
    <row r="40" spans="6:35" x14ac:dyDescent="0.3">
      <c r="G40" s="8" t="s">
        <v>10</v>
      </c>
      <c r="I40" s="8" t="str">
        <f>IF(I$5="",".",MID(IF($I39=1,_xlfn.BASE(ABS(_xlfn.DECIMAL($I39&amp;$J39&amp;$K39&amp;$L39&amp;$N39&amp;$O39&amp;$P39&amp;$Q39&amp;$S39&amp;$T39&amp;$U39&amp;$V39&amp;$X39&amp;$Y39&amp;$Z39&amp;$AA39,2)-2^16),2,16),""),ABS(16-I$5),1))</f>
        <v/>
      </c>
      <c r="J40" s="8" t="str">
        <f t="shared" ref="J40" si="98">IF(J$5="",".",MID(IF($I39=1,_xlfn.BASE(ABS(_xlfn.DECIMAL($I39&amp;$J39&amp;$K39&amp;$L39&amp;$N39&amp;$O39&amp;$P39&amp;$Q39&amp;$S39&amp;$T39&amp;$U39&amp;$V39&amp;$X39&amp;$Y39&amp;$Z39&amp;$AA39,2)-2^16),2,16),""),ABS(16-J$5),1))</f>
        <v/>
      </c>
      <c r="K40" s="8" t="str">
        <f t="shared" ref="K40" si="99">IF(K$5="",".",MID(IF($I39=1,_xlfn.BASE(ABS(_xlfn.DECIMAL($I39&amp;$J39&amp;$K39&amp;$L39&amp;$N39&amp;$O39&amp;$P39&amp;$Q39&amp;$S39&amp;$T39&amp;$U39&amp;$V39&amp;$X39&amp;$Y39&amp;$Z39&amp;$AA39,2)-2^16),2,16),""),ABS(16-K$5),1))</f>
        <v/>
      </c>
      <c r="L40" s="8" t="str">
        <f t="shared" ref="L40" si="100">IF(L$5="",".",MID(IF($I39=1,_xlfn.BASE(ABS(_xlfn.DECIMAL($I39&amp;$J39&amp;$K39&amp;$L39&amp;$N39&amp;$O39&amp;$P39&amp;$Q39&amp;$S39&amp;$T39&amp;$U39&amp;$V39&amp;$X39&amp;$Y39&amp;$Z39&amp;$AA39,2)-2^16),2,16),""),ABS(16-L$5),1))</f>
        <v/>
      </c>
      <c r="M40" s="8" t="str">
        <f t="shared" ref="M40" si="101">IF(M$5="",".",MID(IF($I39=1,_xlfn.BASE(ABS(_xlfn.DECIMAL($I39&amp;$J39&amp;$K39&amp;$L39&amp;$N39&amp;$O39&amp;$P39&amp;$Q39&amp;$S39&amp;$T39&amp;$U39&amp;$V39&amp;$X39&amp;$Y39&amp;$Z39&amp;$AA39,2)-2^16),2,16),""),ABS(16-M$5),1))</f>
        <v>.</v>
      </c>
      <c r="N40" s="8" t="str">
        <f t="shared" ref="N40" si="102">IF(N$5="",".",MID(IF($I39=1,_xlfn.BASE(ABS(_xlfn.DECIMAL($I39&amp;$J39&amp;$K39&amp;$L39&amp;$N39&amp;$O39&amp;$P39&amp;$Q39&amp;$S39&amp;$T39&amp;$U39&amp;$V39&amp;$X39&amp;$Y39&amp;$Z39&amp;$AA39,2)-2^16),2,16),""),ABS(16-N$5),1))</f>
        <v/>
      </c>
      <c r="O40" s="8" t="str">
        <f t="shared" ref="O40" si="103">IF(O$5="",".",MID(IF($I39=1,_xlfn.BASE(ABS(_xlfn.DECIMAL($I39&amp;$J39&amp;$K39&amp;$L39&amp;$N39&amp;$O39&amp;$P39&amp;$Q39&amp;$S39&amp;$T39&amp;$U39&amp;$V39&amp;$X39&amp;$Y39&amp;$Z39&amp;$AA39,2)-2^16),2,16),""),ABS(16-O$5),1))</f>
        <v/>
      </c>
      <c r="P40" s="8" t="str">
        <f t="shared" ref="P40" si="104">IF(P$5="",".",MID(IF($I39=1,_xlfn.BASE(ABS(_xlfn.DECIMAL($I39&amp;$J39&amp;$K39&amp;$L39&amp;$N39&amp;$O39&amp;$P39&amp;$Q39&amp;$S39&amp;$T39&amp;$U39&amp;$V39&amp;$X39&amp;$Y39&amp;$Z39&amp;$AA39,2)-2^16),2,16),""),ABS(16-P$5),1))</f>
        <v/>
      </c>
      <c r="Q40" s="8" t="str">
        <f>IF(Q$5="",".",MID(IF($I39=1,_xlfn.BASE(ABS(_xlfn.DECIMAL($I39&amp;$J39&amp;$K39&amp;$L39&amp;$N39&amp;$O39&amp;$P39&amp;$Q39&amp;$S39&amp;$T39&amp;$U39&amp;$V39&amp;$X39&amp;$Y39&amp;$Z39&amp;$AA39,2)-2^16),2,16),""),ABS(16-Q$5),1))</f>
        <v/>
      </c>
      <c r="R40" s="8" t="str">
        <f t="shared" ref="R40" si="105">IF(R$5="",".",MID(IF($I39=1,_xlfn.BASE(ABS(_xlfn.DECIMAL($I39&amp;$J39&amp;$K39&amp;$L39&amp;$N39&amp;$O39&amp;$P39&amp;$Q39&amp;$S39&amp;$T39&amp;$U39&amp;$V39&amp;$X39&amp;$Y39&amp;$Z39&amp;$AA39,2)-2^16),2,16),""),ABS(16-R$5),1))</f>
        <v>.</v>
      </c>
      <c r="S40" s="8" t="str">
        <f t="shared" ref="S40" si="106">IF(S$5="",".",MID(IF($I39=1,_xlfn.BASE(ABS(_xlfn.DECIMAL($I39&amp;$J39&amp;$K39&amp;$L39&amp;$N39&amp;$O39&amp;$P39&amp;$Q39&amp;$S39&amp;$T39&amp;$U39&amp;$V39&amp;$X39&amp;$Y39&amp;$Z39&amp;$AA39,2)-2^16),2,16),""),ABS(16-S$5),1))</f>
        <v/>
      </c>
      <c r="T40" s="8" t="str">
        <f t="shared" ref="T40" si="107">IF(T$5="",".",MID(IF($I39=1,_xlfn.BASE(ABS(_xlfn.DECIMAL($I39&amp;$J39&amp;$K39&amp;$L39&amp;$N39&amp;$O39&amp;$P39&amp;$Q39&amp;$S39&amp;$T39&amp;$U39&amp;$V39&amp;$X39&amp;$Y39&amp;$Z39&amp;$AA39,2)-2^16),2,16),""),ABS(16-T$5),1))</f>
        <v/>
      </c>
      <c r="U40" s="8" t="str">
        <f t="shared" ref="U40" si="108">IF(U$5="",".",MID(IF($I39=1,_xlfn.BASE(ABS(_xlfn.DECIMAL($I39&amp;$J39&amp;$K39&amp;$L39&amp;$N39&amp;$O39&amp;$P39&amp;$Q39&amp;$S39&amp;$T39&amp;$U39&amp;$V39&amp;$X39&amp;$Y39&amp;$Z39&amp;$AA39,2)-2^16),2,16),""),ABS(16-U$5),1))</f>
        <v/>
      </c>
      <c r="V40" s="8" t="str">
        <f t="shared" ref="V40" si="109">IF(V$5="",".",MID(IF($I39=1,_xlfn.BASE(ABS(_xlfn.DECIMAL($I39&amp;$J39&amp;$K39&amp;$L39&amp;$N39&amp;$O39&amp;$P39&amp;$Q39&amp;$S39&amp;$T39&amp;$U39&amp;$V39&amp;$X39&amp;$Y39&amp;$Z39&amp;$AA39,2)-2^16),2,16),""),ABS(16-V$5),1))</f>
        <v/>
      </c>
      <c r="W40" s="8" t="str">
        <f t="shared" ref="W40" si="110">IF(W$5="",".",MID(IF($I39=1,_xlfn.BASE(ABS(_xlfn.DECIMAL($I39&amp;$J39&amp;$K39&amp;$L39&amp;$N39&amp;$O39&amp;$P39&amp;$Q39&amp;$S39&amp;$T39&amp;$U39&amp;$V39&amp;$X39&amp;$Y39&amp;$Z39&amp;$AA39,2)-2^16),2,16),""),ABS(16-W$5),1))</f>
        <v>.</v>
      </c>
      <c r="X40" s="8" t="str">
        <f t="shared" ref="X40" si="111">IF(X$5="",".",MID(IF($I39=1,_xlfn.BASE(ABS(_xlfn.DECIMAL($I39&amp;$J39&amp;$K39&amp;$L39&amp;$N39&amp;$O39&amp;$P39&amp;$Q39&amp;$S39&amp;$T39&amp;$U39&amp;$V39&amp;$X39&amp;$Y39&amp;$Z39&amp;$AA39,2)-2^16),2,16),""),ABS(16-X$5),1))</f>
        <v/>
      </c>
      <c r="Y40" s="8" t="str">
        <f t="shared" ref="Y40" si="112">IF(Y$5="",".",MID(IF($I39=1,_xlfn.BASE(ABS(_xlfn.DECIMAL($I39&amp;$J39&amp;$K39&amp;$L39&amp;$N39&amp;$O39&amp;$P39&amp;$Q39&amp;$S39&amp;$T39&amp;$U39&amp;$V39&amp;$X39&amp;$Y39&amp;$Z39&amp;$AA39,2)-2^16),2,16),""),ABS(16-Y$5),1))</f>
        <v/>
      </c>
      <c r="Z40" s="8" t="str">
        <f t="shared" ref="Z40" si="113">IF(Z$5="",".",MID(IF($I39=1,_xlfn.BASE(ABS(_xlfn.DECIMAL($I39&amp;$J39&amp;$K39&amp;$L39&amp;$N39&amp;$O39&amp;$P39&amp;$Q39&amp;$S39&amp;$T39&amp;$U39&amp;$V39&amp;$X39&amp;$Y39&amp;$Z39&amp;$AA39,2)-2^16),2,16),""),ABS(16-Z$5),1))</f>
        <v/>
      </c>
      <c r="AA40" s="8" t="str">
        <f t="shared" ref="AA40" si="114">IF(AA$5="",".",MID(IF($I39=1,_xlfn.BASE(ABS(_xlfn.DECIMAL($I39&amp;$J39&amp;$K39&amp;$L39&amp;$N39&amp;$O39&amp;$P39&amp;$Q39&amp;$S39&amp;$T39&amp;$U39&amp;$V39&amp;$X39&amp;$Y39&amp;$Z39&amp;$AA39,2)-2^16),2,16),""),ABS(16-AA$5),1))</f>
        <v/>
      </c>
    </row>
    <row r="41" spans="6:35" x14ac:dyDescent="0.3">
      <c r="I41" t="s">
        <v>11</v>
      </c>
      <c r="J41" s="8">
        <f>I36</f>
        <v>1</v>
      </c>
      <c r="L41" t="s">
        <v>12</v>
      </c>
      <c r="M41" s="8">
        <f>MOD(S39+T39+U39+V39+X39+Y39+Z39+AA39,2)</f>
        <v>1</v>
      </c>
      <c r="O41" t="s">
        <v>13</v>
      </c>
      <c r="P41" s="8">
        <f>X36</f>
        <v>1</v>
      </c>
      <c r="R41" t="s">
        <v>14</v>
      </c>
      <c r="S41" s="8">
        <f>IF(AC39=0,1,0)</f>
        <v>0</v>
      </c>
      <c r="U41" t="s">
        <v>16</v>
      </c>
      <c r="V41" s="8">
        <f>I39</f>
        <v>0</v>
      </c>
      <c r="X41" t="s">
        <v>15</v>
      </c>
      <c r="Y41" s="8">
        <f>MOD(J36+I36,2)</f>
        <v>0</v>
      </c>
    </row>
    <row r="44" spans="6:35" x14ac:dyDescent="0.3">
      <c r="G44" s="8" t="s">
        <v>6</v>
      </c>
      <c r="I44" s="8">
        <f t="shared" ref="I44" si="115">IF(I45=".",J44,IF((J44+I45+I46) &gt;= 2,1,0))</f>
        <v>1</v>
      </c>
      <c r="J44" s="8">
        <f t="shared" ref="J44" si="116">IF(J45=".",K44,IF((K44+J45+J46) &gt;= 2,1,0))</f>
        <v>1</v>
      </c>
      <c r="K44" s="8">
        <f t="shared" ref="K44" si="117">IF(K45=".",L44,IF((L44+K45+K46) &gt;= 2,1,0))</f>
        <v>0</v>
      </c>
      <c r="L44" s="8">
        <f t="shared" ref="L44" si="118">IF(L45=".",M44,IF((M44+L45+L46) &gt;= 2,1,0))</f>
        <v>0</v>
      </c>
      <c r="M44" s="8">
        <f t="shared" ref="M44" si="119">IF(M45=".",N44,IF((N44+M45+M46) &gt;= 2,1,0))</f>
        <v>0</v>
      </c>
      <c r="N44" s="8">
        <f t="shared" ref="N44" si="120">IF(N45=".",O44,IF((O44+N45+N46) &gt;= 2,1,0))</f>
        <v>0</v>
      </c>
      <c r="O44" s="8">
        <f t="shared" ref="O44" si="121">IF(O45=".",P44,IF((P44+O45+O46) &gt;= 2,1,0))</f>
        <v>0</v>
      </c>
      <c r="P44" s="8">
        <f t="shared" ref="P44" si="122">IF(P45=".",Q44,IF((Q44+P45+P46) &gt;= 2,1,0))</f>
        <v>0</v>
      </c>
      <c r="Q44" s="8">
        <f t="shared" ref="Q44" si="123">IF(Q45=".",R44,IF((R44+Q45+Q46) &gt;= 2,1,0))</f>
        <v>0</v>
      </c>
      <c r="R44" s="8">
        <f t="shared" ref="R44" si="124">IF(R45=".",S44,IF((S44+R45+R46) &gt;= 2,1,0))</f>
        <v>1</v>
      </c>
      <c r="S44" s="8">
        <f t="shared" ref="S44" si="125">IF(S45=".",T44,IF((T44+S45+S46) &gt;= 2,1,0))</f>
        <v>1</v>
      </c>
      <c r="T44" s="8">
        <f t="shared" ref="T44" si="126">IF(T45=".",U44,IF((U44+T45+T46) &gt;= 2,1,0))</f>
        <v>0</v>
      </c>
      <c r="U44" s="8">
        <f t="shared" ref="U44" si="127">IF(U45=".",V44,IF((V44+U45+U46) &gt;= 2,1,0))</f>
        <v>0</v>
      </c>
      <c r="V44" s="8">
        <f t="shared" ref="V44" si="128">IF(V45=".",W44,IF((W44+V45+V46) &gt;= 2,1,0))</f>
        <v>0</v>
      </c>
      <c r="W44" s="8">
        <f t="shared" ref="W44" si="129">IF(W45=".",X44,IF((X44+W45+W46) &gt;= 2,1,0))</f>
        <v>1</v>
      </c>
      <c r="X44" s="8">
        <f t="shared" ref="X44" si="130">IF(X45=".",Y44,IF((Y44+X45+X46) &gt;= 2,1,0))</f>
        <v>1</v>
      </c>
      <c r="Y44" s="8">
        <f t="shared" ref="Y44" si="131">IF(Y45=".",Z44,IF((Z44+Y45+Y46) &gt;= 2,1,0))</f>
        <v>0</v>
      </c>
      <c r="Z44" s="8">
        <f>IF(Z45=".",AA44,IF((AA44+Z45+Z46) &gt;= 2,1,0))</f>
        <v>0</v>
      </c>
      <c r="AA44" s="8">
        <f>IF(AA45=".",AB44,IF((AB44+AA45+AA46) &gt;= 2,1,0))</f>
        <v>0</v>
      </c>
    </row>
    <row r="45" spans="6:35" x14ac:dyDescent="0.3">
      <c r="F45" s="22" t="s">
        <v>23</v>
      </c>
      <c r="G45" s="8" t="s">
        <v>69</v>
      </c>
      <c r="I45" s="9" t="str">
        <f>I12</f>
        <v>1</v>
      </c>
      <c r="J45" s="9" t="str">
        <f t="shared" ref="J45:AA46" si="132">J12</f>
        <v>1</v>
      </c>
      <c r="K45" s="9" t="str">
        <f t="shared" si="132"/>
        <v>1</v>
      </c>
      <c r="L45" s="9" t="str">
        <f t="shared" si="132"/>
        <v>0</v>
      </c>
      <c r="M45" s="9" t="str">
        <f t="shared" si="132"/>
        <v>.</v>
      </c>
      <c r="N45" s="9" t="str">
        <f t="shared" si="132"/>
        <v>0</v>
      </c>
      <c r="O45" s="9" t="str">
        <f t="shared" si="132"/>
        <v>1</v>
      </c>
      <c r="P45" s="9" t="str">
        <f t="shared" si="132"/>
        <v>1</v>
      </c>
      <c r="Q45" s="9" t="str">
        <f t="shared" si="132"/>
        <v>0</v>
      </c>
      <c r="R45" s="9" t="str">
        <f t="shared" si="132"/>
        <v>.</v>
      </c>
      <c r="S45" s="9" t="str">
        <f t="shared" si="132"/>
        <v>1</v>
      </c>
      <c r="T45" s="9" t="str">
        <f t="shared" si="132"/>
        <v>0</v>
      </c>
      <c r="U45" s="9" t="str">
        <f t="shared" si="132"/>
        <v>0</v>
      </c>
      <c r="V45" s="9" t="str">
        <f t="shared" si="132"/>
        <v>0</v>
      </c>
      <c r="W45" s="9" t="str">
        <f t="shared" si="132"/>
        <v>.</v>
      </c>
      <c r="X45" s="9" t="str">
        <f t="shared" si="132"/>
        <v>1</v>
      </c>
      <c r="Y45" s="9" t="str">
        <f t="shared" si="132"/>
        <v>0</v>
      </c>
      <c r="Z45" s="9" t="str">
        <f t="shared" si="132"/>
        <v>1</v>
      </c>
      <c r="AA45" s="9" t="str">
        <f t="shared" si="132"/>
        <v>0</v>
      </c>
      <c r="AB45" s="19" t="s">
        <v>5</v>
      </c>
      <c r="AE45" s="22" t="s">
        <v>23</v>
      </c>
      <c r="AF45" s="7" t="s">
        <v>70</v>
      </c>
      <c r="AG45">
        <f>D12</f>
        <v>-6518</v>
      </c>
      <c r="AH45" s="19" t="s">
        <v>7</v>
      </c>
    </row>
    <row r="46" spans="6:35" ht="15" thickBot="1" x14ac:dyDescent="0.35">
      <c r="F46" s="22"/>
      <c r="G46" s="13" t="s">
        <v>71</v>
      </c>
      <c r="I46" s="14" t="str">
        <f>I13</f>
        <v>1</v>
      </c>
      <c r="J46" s="14" t="str">
        <f t="shared" si="132"/>
        <v>1</v>
      </c>
      <c r="K46" s="14" t="str">
        <f t="shared" si="132"/>
        <v>0</v>
      </c>
      <c r="L46" s="14" t="str">
        <f t="shared" si="132"/>
        <v>0</v>
      </c>
      <c r="M46" s="14" t="str">
        <f t="shared" si="132"/>
        <v>.</v>
      </c>
      <c r="N46" s="14" t="str">
        <f t="shared" si="132"/>
        <v>1</v>
      </c>
      <c r="O46" s="14" t="str">
        <f t="shared" si="132"/>
        <v>0</v>
      </c>
      <c r="P46" s="14" t="str">
        <f t="shared" si="132"/>
        <v>0</v>
      </c>
      <c r="Q46" s="14" t="str">
        <f t="shared" si="132"/>
        <v>0</v>
      </c>
      <c r="R46" s="14" t="str">
        <f t="shared" si="132"/>
        <v>.</v>
      </c>
      <c r="S46" s="14" t="str">
        <f t="shared" si="132"/>
        <v>1</v>
      </c>
      <c r="T46" s="14" t="str">
        <f t="shared" si="132"/>
        <v>0</v>
      </c>
      <c r="U46" s="14" t="str">
        <f t="shared" si="132"/>
        <v>0</v>
      </c>
      <c r="V46" s="14" t="str">
        <f t="shared" si="132"/>
        <v>0</v>
      </c>
      <c r="W46" s="14" t="str">
        <f t="shared" si="132"/>
        <v>.</v>
      </c>
      <c r="X46" s="14" t="str">
        <f t="shared" si="132"/>
        <v>1</v>
      </c>
      <c r="Y46" s="14" t="str">
        <f t="shared" si="132"/>
        <v>0</v>
      </c>
      <c r="Z46" s="14" t="str">
        <f t="shared" si="132"/>
        <v>0</v>
      </c>
      <c r="AA46" s="14" t="str">
        <f t="shared" si="132"/>
        <v>0</v>
      </c>
      <c r="AB46" s="19" t="s">
        <v>5</v>
      </c>
      <c r="AE46" s="22"/>
      <c r="AF46" s="17" t="s">
        <v>72</v>
      </c>
      <c r="AG46" s="16">
        <f>D13</f>
        <v>-14200</v>
      </c>
      <c r="AH46" s="19" t="s">
        <v>7</v>
      </c>
    </row>
    <row r="47" spans="6:35" x14ac:dyDescent="0.3">
      <c r="G47" s="8" t="s">
        <v>9</v>
      </c>
      <c r="I47" s="9">
        <f t="shared" ref="I47" si="133">IF(I46=".",".",MOD(I46+I45+J44,2))</f>
        <v>1</v>
      </c>
      <c r="J47" s="9">
        <f t="shared" ref="J47" si="134">IF(J46=".",".",MOD(J46+J45+K44,2))</f>
        <v>0</v>
      </c>
      <c r="K47" s="9">
        <f t="shared" ref="K47" si="135">IF(K46=".",".",MOD(K46+K45+L44,2))</f>
        <v>1</v>
      </c>
      <c r="L47" s="9">
        <f t="shared" ref="L47" si="136">IF(L46=".",".",MOD(L46+L45+M44,2))</f>
        <v>0</v>
      </c>
      <c r="M47" s="9" t="str">
        <f t="shared" ref="M47" si="137">IF(M46=".",".",MOD(M46+M45+N44,2))</f>
        <v>.</v>
      </c>
      <c r="N47" s="9">
        <f t="shared" ref="N47" si="138">IF(N46=".",".",MOD(N46+N45+O44,2))</f>
        <v>1</v>
      </c>
      <c r="O47" s="9">
        <f t="shared" ref="O47" si="139">IF(O46=".",".",MOD(O46+O45+P44,2))</f>
        <v>1</v>
      </c>
      <c r="P47" s="9">
        <f t="shared" ref="P47" si="140">IF(P46=".",".",MOD(P46+P45+Q44,2))</f>
        <v>1</v>
      </c>
      <c r="Q47" s="9">
        <f t="shared" ref="Q47" si="141">IF(Q46=".",".",MOD(Q46+Q45+R44,2))</f>
        <v>1</v>
      </c>
      <c r="R47" s="9" t="str">
        <f t="shared" ref="R47" si="142">IF(R46=".",".",MOD(R46+R45+S44,2))</f>
        <v>.</v>
      </c>
      <c r="S47" s="9">
        <f t="shared" ref="S47" si="143">IF(S46=".",".",MOD(S46+S45+T44,2))</f>
        <v>0</v>
      </c>
      <c r="T47" s="9">
        <f t="shared" ref="T47" si="144">IF(T46=".",".",MOD(T46+T45+U44,2))</f>
        <v>0</v>
      </c>
      <c r="U47" s="9">
        <f t="shared" ref="U47" si="145">IF(U46=".",".",MOD(U46+U45+V44,2))</f>
        <v>0</v>
      </c>
      <c r="V47" s="9">
        <f t="shared" ref="V47" si="146">IF(V46=".",".",MOD(V46+V45+W44,2))</f>
        <v>1</v>
      </c>
      <c r="W47" s="9" t="str">
        <f t="shared" ref="W47" si="147">IF(W46=".",".",MOD(W46+W45+X44,2))</f>
        <v>.</v>
      </c>
      <c r="X47" s="9">
        <f t="shared" ref="X47" si="148">IF(X46=".",".",MOD(X46+X45+Y44,2))</f>
        <v>0</v>
      </c>
      <c r="Y47" s="9">
        <f t="shared" ref="Y47" si="149">IF(Y46=".",".",MOD(Y46+Y45+Z44,2))</f>
        <v>0</v>
      </c>
      <c r="Z47" s="9">
        <f t="shared" ref="Z47" si="150">IF(Z46=".",".",MOD(Z46+Z45+AA44,2))</f>
        <v>1</v>
      </c>
      <c r="AA47" s="9">
        <f>IF(AA46=".",".",MOD(AA46+AA45+AB44,2))</f>
        <v>0</v>
      </c>
      <c r="AB47" s="11" t="s">
        <v>8</v>
      </c>
      <c r="AC47">
        <f>IF(I47=0,_xlfn.DECIMAL(I47&amp;J47&amp;K47&amp;L47&amp;N47&amp;O47&amp;P47&amp;Q47&amp;S47&amp;T47&amp;U47&amp;V47&amp;X47&amp;Y47&amp;Z47&amp;AA47,2),(-1)*_xlfn.DECIMAL(I48&amp;J48&amp;K48&amp;L48&amp;N48&amp;O48&amp;P48&amp;Q48&amp;S48&amp;T48&amp;U48&amp;V48&amp;X48&amp;Y48&amp;Z48&amp;AA48,2))</f>
        <v>-20718</v>
      </c>
      <c r="AD47" s="19" t="s">
        <v>7</v>
      </c>
      <c r="AE47" s="19"/>
      <c r="AG47">
        <f>AG45+AG46</f>
        <v>-20718</v>
      </c>
      <c r="AH47" s="19" t="s">
        <v>7</v>
      </c>
      <c r="AI47" t="str">
        <f>IF(AND(AC47=AG47,AC47&gt;=0,J49=0,AG45&gt;=0,AG46&gt;=0),$AL$6,IF(AND(OR(AND(AG45&gt;=0,AG46&lt;0),AND(AG45&lt;0,AG46&gt;=0)),AC47=AG47),$AL$8,IF(AND(AG45&gt;=0,AG46&gt;=0,Y49=1,AC47&lt;&gt;AG47),$AL$7,IF(AND(AG45&lt;0,AG46&lt;0,AC47&gt;=0,Y49=1),$AL$9,IF(AND(AG45&lt;0,AG46&lt;0,AC47=AG47),$AL$10,"Ошибка с входными данными")))))</f>
        <v>В ходе операции сложения двух отрицательных чисел был получен корректный результат</v>
      </c>
    </row>
    <row r="48" spans="6:35" x14ac:dyDescent="0.3">
      <c r="G48" s="8" t="s">
        <v>10</v>
      </c>
      <c r="I48" s="8" t="str">
        <f>IF(I$5="",".",MID(IF($I47=1,_xlfn.BASE(ABS(_xlfn.DECIMAL($I47&amp;$J47&amp;$K47&amp;$L47&amp;$N47&amp;$O47&amp;$P47&amp;$Q47&amp;$S47&amp;$T47&amp;$U47&amp;$V47&amp;$X47&amp;$Y47&amp;$Z47&amp;$AA47,2)-2^16),2,16),""),ABS(16-I$5),1))</f>
        <v>0</v>
      </c>
      <c r="J48" s="8" t="str">
        <f t="shared" ref="J48" si="151">IF(J$5="",".",MID(IF($I47=1,_xlfn.BASE(ABS(_xlfn.DECIMAL($I47&amp;$J47&amp;$K47&amp;$L47&amp;$N47&amp;$O47&amp;$P47&amp;$Q47&amp;$S47&amp;$T47&amp;$U47&amp;$V47&amp;$X47&amp;$Y47&amp;$Z47&amp;$AA47,2)-2^16),2,16),""),ABS(16-J$5),1))</f>
        <v>1</v>
      </c>
      <c r="K48" s="8" t="str">
        <f t="shared" ref="K48" si="152">IF(K$5="",".",MID(IF($I47=1,_xlfn.BASE(ABS(_xlfn.DECIMAL($I47&amp;$J47&amp;$K47&amp;$L47&amp;$N47&amp;$O47&amp;$P47&amp;$Q47&amp;$S47&amp;$T47&amp;$U47&amp;$V47&amp;$X47&amp;$Y47&amp;$Z47&amp;$AA47,2)-2^16),2,16),""),ABS(16-K$5),1))</f>
        <v>0</v>
      </c>
      <c r="L48" s="8" t="str">
        <f t="shared" ref="L48" si="153">IF(L$5="",".",MID(IF($I47=1,_xlfn.BASE(ABS(_xlfn.DECIMAL($I47&amp;$J47&amp;$K47&amp;$L47&amp;$N47&amp;$O47&amp;$P47&amp;$Q47&amp;$S47&amp;$T47&amp;$U47&amp;$V47&amp;$X47&amp;$Y47&amp;$Z47&amp;$AA47,2)-2^16),2,16),""),ABS(16-L$5),1))</f>
        <v>1</v>
      </c>
      <c r="M48" s="8" t="str">
        <f t="shared" ref="M48" si="154">IF(M$5="",".",MID(IF($I47=1,_xlfn.BASE(ABS(_xlfn.DECIMAL($I47&amp;$J47&amp;$K47&amp;$L47&amp;$N47&amp;$O47&amp;$P47&amp;$Q47&amp;$S47&amp;$T47&amp;$U47&amp;$V47&amp;$X47&amp;$Y47&amp;$Z47&amp;$AA47,2)-2^16),2,16),""),ABS(16-M$5),1))</f>
        <v>.</v>
      </c>
      <c r="N48" s="8" t="str">
        <f t="shared" ref="N48" si="155">IF(N$5="",".",MID(IF($I47=1,_xlfn.BASE(ABS(_xlfn.DECIMAL($I47&amp;$J47&amp;$K47&amp;$L47&amp;$N47&amp;$O47&amp;$P47&amp;$Q47&amp;$S47&amp;$T47&amp;$U47&amp;$V47&amp;$X47&amp;$Y47&amp;$Z47&amp;$AA47,2)-2^16),2,16),""),ABS(16-N$5),1))</f>
        <v>0</v>
      </c>
      <c r="O48" s="8" t="str">
        <f t="shared" ref="O48" si="156">IF(O$5="",".",MID(IF($I47=1,_xlfn.BASE(ABS(_xlfn.DECIMAL($I47&amp;$J47&amp;$K47&amp;$L47&amp;$N47&amp;$O47&amp;$P47&amp;$Q47&amp;$S47&amp;$T47&amp;$U47&amp;$V47&amp;$X47&amp;$Y47&amp;$Z47&amp;$AA47,2)-2^16),2,16),""),ABS(16-O$5),1))</f>
        <v>0</v>
      </c>
      <c r="P48" s="8" t="str">
        <f t="shared" ref="P48" si="157">IF(P$5="",".",MID(IF($I47=1,_xlfn.BASE(ABS(_xlfn.DECIMAL($I47&amp;$J47&amp;$K47&amp;$L47&amp;$N47&amp;$O47&amp;$P47&amp;$Q47&amp;$S47&amp;$T47&amp;$U47&amp;$V47&amp;$X47&amp;$Y47&amp;$Z47&amp;$AA47,2)-2^16),2,16),""),ABS(16-P$5),1))</f>
        <v>0</v>
      </c>
      <c r="Q48" s="8" t="str">
        <f>IF(Q$5="",".",MID(IF($I47=1,_xlfn.BASE(ABS(_xlfn.DECIMAL($I47&amp;$J47&amp;$K47&amp;$L47&amp;$N47&amp;$O47&amp;$P47&amp;$Q47&amp;$S47&amp;$T47&amp;$U47&amp;$V47&amp;$X47&amp;$Y47&amp;$Z47&amp;$AA47,2)-2^16),2,16),""),ABS(16-Q$5),1))</f>
        <v>0</v>
      </c>
      <c r="R48" s="8" t="str">
        <f t="shared" ref="R48" si="158">IF(R$5="",".",MID(IF($I47=1,_xlfn.BASE(ABS(_xlfn.DECIMAL($I47&amp;$J47&amp;$K47&amp;$L47&amp;$N47&amp;$O47&amp;$P47&amp;$Q47&amp;$S47&amp;$T47&amp;$U47&amp;$V47&amp;$X47&amp;$Y47&amp;$Z47&amp;$AA47,2)-2^16),2,16),""),ABS(16-R$5),1))</f>
        <v>.</v>
      </c>
      <c r="S48" s="8" t="str">
        <f t="shared" ref="S48" si="159">IF(S$5="",".",MID(IF($I47=1,_xlfn.BASE(ABS(_xlfn.DECIMAL($I47&amp;$J47&amp;$K47&amp;$L47&amp;$N47&amp;$O47&amp;$P47&amp;$Q47&amp;$S47&amp;$T47&amp;$U47&amp;$V47&amp;$X47&amp;$Y47&amp;$Z47&amp;$AA47,2)-2^16),2,16),""),ABS(16-S$5),1))</f>
        <v>1</v>
      </c>
      <c r="T48" s="8" t="str">
        <f t="shared" ref="T48" si="160">IF(T$5="",".",MID(IF($I47=1,_xlfn.BASE(ABS(_xlfn.DECIMAL($I47&amp;$J47&amp;$K47&amp;$L47&amp;$N47&amp;$O47&amp;$P47&amp;$Q47&amp;$S47&amp;$T47&amp;$U47&amp;$V47&amp;$X47&amp;$Y47&amp;$Z47&amp;$AA47,2)-2^16),2,16),""),ABS(16-T$5),1))</f>
        <v>1</v>
      </c>
      <c r="U48" s="8" t="str">
        <f t="shared" ref="U48" si="161">IF(U$5="",".",MID(IF($I47=1,_xlfn.BASE(ABS(_xlfn.DECIMAL($I47&amp;$J47&amp;$K47&amp;$L47&amp;$N47&amp;$O47&amp;$P47&amp;$Q47&amp;$S47&amp;$T47&amp;$U47&amp;$V47&amp;$X47&amp;$Y47&amp;$Z47&amp;$AA47,2)-2^16),2,16),""),ABS(16-U$5),1))</f>
        <v>1</v>
      </c>
      <c r="V48" s="8" t="str">
        <f t="shared" ref="V48" si="162">IF(V$5="",".",MID(IF($I47=1,_xlfn.BASE(ABS(_xlfn.DECIMAL($I47&amp;$J47&amp;$K47&amp;$L47&amp;$N47&amp;$O47&amp;$P47&amp;$Q47&amp;$S47&amp;$T47&amp;$U47&amp;$V47&amp;$X47&amp;$Y47&amp;$Z47&amp;$AA47,2)-2^16),2,16),""),ABS(16-V$5),1))</f>
        <v>0</v>
      </c>
      <c r="W48" s="8" t="str">
        <f t="shared" ref="W48" si="163">IF(W$5="",".",MID(IF($I47=1,_xlfn.BASE(ABS(_xlfn.DECIMAL($I47&amp;$J47&amp;$K47&amp;$L47&amp;$N47&amp;$O47&amp;$P47&amp;$Q47&amp;$S47&amp;$T47&amp;$U47&amp;$V47&amp;$X47&amp;$Y47&amp;$Z47&amp;$AA47,2)-2^16),2,16),""),ABS(16-W$5),1))</f>
        <v>.</v>
      </c>
      <c r="X48" s="8" t="str">
        <f t="shared" ref="X48" si="164">IF(X$5="",".",MID(IF($I47=1,_xlfn.BASE(ABS(_xlfn.DECIMAL($I47&amp;$J47&amp;$K47&amp;$L47&amp;$N47&amp;$O47&amp;$P47&amp;$Q47&amp;$S47&amp;$T47&amp;$U47&amp;$V47&amp;$X47&amp;$Y47&amp;$Z47&amp;$AA47,2)-2^16),2,16),""),ABS(16-X$5),1))</f>
        <v>1</v>
      </c>
      <c r="Y48" s="8" t="str">
        <f t="shared" ref="Y48" si="165">IF(Y$5="",".",MID(IF($I47=1,_xlfn.BASE(ABS(_xlfn.DECIMAL($I47&amp;$J47&amp;$K47&amp;$L47&amp;$N47&amp;$O47&amp;$P47&amp;$Q47&amp;$S47&amp;$T47&amp;$U47&amp;$V47&amp;$X47&amp;$Y47&amp;$Z47&amp;$AA47,2)-2^16),2,16),""),ABS(16-Y$5),1))</f>
        <v>1</v>
      </c>
      <c r="Z48" s="8" t="str">
        <f t="shared" ref="Z48" si="166">IF(Z$5="",".",MID(IF($I47=1,_xlfn.BASE(ABS(_xlfn.DECIMAL($I47&amp;$J47&amp;$K47&amp;$L47&amp;$N47&amp;$O47&amp;$P47&amp;$Q47&amp;$S47&amp;$T47&amp;$U47&amp;$V47&amp;$X47&amp;$Y47&amp;$Z47&amp;$AA47,2)-2^16),2,16),""),ABS(16-Z$5),1))</f>
        <v>1</v>
      </c>
      <c r="AA48" s="8" t="str">
        <f t="shared" ref="AA48" si="167">IF(AA$5="",".",MID(IF($I47=1,_xlfn.BASE(ABS(_xlfn.DECIMAL($I47&amp;$J47&amp;$K47&amp;$L47&amp;$N47&amp;$O47&amp;$P47&amp;$Q47&amp;$S47&amp;$T47&amp;$U47&amp;$V47&amp;$X47&amp;$Y47&amp;$Z47&amp;$AA47,2)-2^16),2,16),""),ABS(16-AA$5),1))</f>
        <v>0</v>
      </c>
    </row>
    <row r="49" spans="6:35" x14ac:dyDescent="0.3">
      <c r="I49" t="s">
        <v>11</v>
      </c>
      <c r="J49" s="8">
        <f>I44</f>
        <v>1</v>
      </c>
      <c r="L49" t="s">
        <v>12</v>
      </c>
      <c r="M49" s="8">
        <f>MOD(S47+T47+U47+V47+X47+Y47+Z47+AA47,2)</f>
        <v>0</v>
      </c>
      <c r="O49" t="s">
        <v>13</v>
      </c>
      <c r="P49" s="8">
        <f>X44</f>
        <v>1</v>
      </c>
      <c r="R49" t="s">
        <v>14</v>
      </c>
      <c r="S49" s="8">
        <f>IF(AC47=0,1,0)</f>
        <v>0</v>
      </c>
      <c r="U49" t="s">
        <v>16</v>
      </c>
      <c r="V49" s="8">
        <f>I47</f>
        <v>1</v>
      </c>
      <c r="X49" t="s">
        <v>15</v>
      </c>
      <c r="Y49" s="8">
        <f>MOD(J44+I44,2)</f>
        <v>0</v>
      </c>
    </row>
    <row r="52" spans="6:35" x14ac:dyDescent="0.3">
      <c r="G52" s="8" t="s">
        <v>6</v>
      </c>
      <c r="I52" s="8">
        <f>IF(I53=".",J52,IF((J52+I53+I54) &gt;= 2,1,0))</f>
        <v>1</v>
      </c>
      <c r="J52" s="8">
        <f t="shared" ref="J52" si="168">IF(J53=".",K52,IF((K52+J53+J54) &gt;= 2,1,0))</f>
        <v>0</v>
      </c>
      <c r="K52" s="8">
        <f t="shared" ref="K52" si="169">IF(K53=".",L52,IF((L52+K53+K54) &gt;= 2,1,0))</f>
        <v>0</v>
      </c>
      <c r="L52" s="8">
        <f t="shared" ref="L52" si="170">IF(L53=".",M52,IF((M52+L53+L54) &gt;= 2,1,0))</f>
        <v>0</v>
      </c>
      <c r="M52" s="8">
        <f t="shared" ref="M52" si="171">IF(M53=".",N52,IF((N52+M53+M54) &gt;= 2,1,0))</f>
        <v>1</v>
      </c>
      <c r="N52" s="8">
        <f t="shared" ref="N52" si="172">IF(N53=".",O52,IF((O52+N53+N54) &gt;= 2,1,0))</f>
        <v>1</v>
      </c>
      <c r="O52" s="8">
        <f t="shared" ref="O52" si="173">IF(O53=".",P52,IF((P52+O53+O54) &gt;= 2,1,0))</f>
        <v>0</v>
      </c>
      <c r="P52" s="8">
        <f t="shared" ref="P52" si="174">IF(P53=".",Q52,IF((Q52+P53+P54) &gt;= 2,1,0))</f>
        <v>0</v>
      </c>
      <c r="Q52" s="8">
        <f t="shared" ref="Q52" si="175">IF(Q53=".",R52,IF((R52+Q53+Q54) &gt;= 2,1,0))</f>
        <v>0</v>
      </c>
      <c r="R52" s="8">
        <f t="shared" ref="R52" si="176">IF(R53=".",S52,IF((S52+R53+R54) &gt;= 2,1,0))</f>
        <v>0</v>
      </c>
      <c r="S52" s="8">
        <f t="shared" ref="S52" si="177">IF(S53=".",T52,IF((T52+S53+S54) &gt;= 2,1,0))</f>
        <v>0</v>
      </c>
      <c r="T52" s="8">
        <f t="shared" ref="T52" si="178">IF(T53=".",U52,IF((U52+T53+T54) &gt;= 2,1,0))</f>
        <v>0</v>
      </c>
      <c r="U52" s="8">
        <f t="shared" ref="U52" si="179">IF(U53=".",V52,IF((V52+U53+U54) &gt;= 2,1,0))</f>
        <v>0</v>
      </c>
      <c r="V52" s="8">
        <f t="shared" ref="V52" si="180">IF(V53=".",W52,IF((W52+V53+V54) &gt;= 2,1,0))</f>
        <v>0</v>
      </c>
      <c r="W52" s="8">
        <f t="shared" ref="W52" si="181">IF(W53=".",X52,IF((X52+W53+W54) &gt;= 2,1,0))</f>
        <v>0</v>
      </c>
      <c r="X52" s="8">
        <f t="shared" ref="X52" si="182">IF(X53=".",Y52,IF((Y52+X53+X54) &gt;= 2,1,0))</f>
        <v>0</v>
      </c>
      <c r="Y52" s="8">
        <f t="shared" ref="Y52" si="183">IF(Y53=".",Z52,IF((Z52+Y53+Y54) &gt;= 2,1,0))</f>
        <v>0</v>
      </c>
      <c r="Z52" s="8">
        <f>IF(Z53=".",AA52,IF((AA52+Z53+Z54) &gt;= 2,1,0))</f>
        <v>0</v>
      </c>
      <c r="AA52" s="8">
        <f>IF(AA53=".",AB52,IF((AB52+AA53+AA54) &gt;= 2,1,0))</f>
        <v>0</v>
      </c>
    </row>
    <row r="53" spans="6:35" x14ac:dyDescent="0.3">
      <c r="F53" s="22" t="s">
        <v>23</v>
      </c>
      <c r="G53" s="8" t="s">
        <v>71</v>
      </c>
      <c r="I53" s="9" t="str">
        <f>I13</f>
        <v>1</v>
      </c>
      <c r="J53" s="9" t="str">
        <f t="shared" ref="J53:AA54" si="184">J13</f>
        <v>1</v>
      </c>
      <c r="K53" s="9" t="str">
        <f t="shared" si="184"/>
        <v>0</v>
      </c>
      <c r="L53" s="9" t="str">
        <f t="shared" si="184"/>
        <v>0</v>
      </c>
      <c r="M53" s="9" t="str">
        <f t="shared" si="184"/>
        <v>.</v>
      </c>
      <c r="N53" s="9" t="str">
        <f t="shared" si="184"/>
        <v>1</v>
      </c>
      <c r="O53" s="9" t="str">
        <f t="shared" si="184"/>
        <v>0</v>
      </c>
      <c r="P53" s="9" t="str">
        <f t="shared" si="184"/>
        <v>0</v>
      </c>
      <c r="Q53" s="9" t="str">
        <f t="shared" si="184"/>
        <v>0</v>
      </c>
      <c r="R53" s="9" t="str">
        <f t="shared" si="184"/>
        <v>.</v>
      </c>
      <c r="S53" s="9" t="str">
        <f t="shared" si="184"/>
        <v>1</v>
      </c>
      <c r="T53" s="9" t="str">
        <f t="shared" si="184"/>
        <v>0</v>
      </c>
      <c r="U53" s="9" t="str">
        <f t="shared" si="184"/>
        <v>0</v>
      </c>
      <c r="V53" s="9" t="str">
        <f t="shared" si="184"/>
        <v>0</v>
      </c>
      <c r="W53" s="9" t="str">
        <f t="shared" si="184"/>
        <v>.</v>
      </c>
      <c r="X53" s="9" t="str">
        <f t="shared" si="184"/>
        <v>1</v>
      </c>
      <c r="Y53" s="9" t="str">
        <f t="shared" si="184"/>
        <v>0</v>
      </c>
      <c r="Z53" s="9" t="str">
        <f t="shared" si="184"/>
        <v>0</v>
      </c>
      <c r="AA53" s="9" t="str">
        <f t="shared" si="184"/>
        <v>0</v>
      </c>
      <c r="AB53" s="19" t="s">
        <v>5</v>
      </c>
      <c r="AE53" s="22" t="s">
        <v>23</v>
      </c>
      <c r="AF53" s="7" t="s">
        <v>72</v>
      </c>
      <c r="AG53">
        <f>D13</f>
        <v>-14200</v>
      </c>
      <c r="AH53" s="19" t="s">
        <v>7</v>
      </c>
    </row>
    <row r="54" spans="6:35" ht="15" thickBot="1" x14ac:dyDescent="0.35">
      <c r="F54" s="22"/>
      <c r="G54" s="13" t="s">
        <v>73</v>
      </c>
      <c r="I54" s="14" t="str">
        <f>I14</f>
        <v>1</v>
      </c>
      <c r="J54" s="14" t="str">
        <f t="shared" si="184"/>
        <v>0</v>
      </c>
      <c r="K54" s="14" t="str">
        <f t="shared" si="184"/>
        <v>1</v>
      </c>
      <c r="L54" s="14" t="str">
        <f t="shared" si="184"/>
        <v>0</v>
      </c>
      <c r="M54" s="14" t="str">
        <f t="shared" si="184"/>
        <v>.</v>
      </c>
      <c r="N54" s="14" t="str">
        <f t="shared" si="184"/>
        <v>1</v>
      </c>
      <c r="O54" s="14" t="str">
        <f t="shared" si="184"/>
        <v>1</v>
      </c>
      <c r="P54" s="14" t="str">
        <f t="shared" si="184"/>
        <v>1</v>
      </c>
      <c r="Q54" s="14" t="str">
        <f t="shared" si="184"/>
        <v>1</v>
      </c>
      <c r="R54" s="14" t="str">
        <f t="shared" si="184"/>
        <v>.</v>
      </c>
      <c r="S54" s="14" t="str">
        <f t="shared" si="184"/>
        <v>0</v>
      </c>
      <c r="T54" s="14" t="str">
        <f t="shared" si="184"/>
        <v>0</v>
      </c>
      <c r="U54" s="14" t="str">
        <f t="shared" si="184"/>
        <v>0</v>
      </c>
      <c r="V54" s="14" t="str">
        <f t="shared" si="184"/>
        <v>1</v>
      </c>
      <c r="W54" s="14" t="str">
        <f t="shared" si="184"/>
        <v>.</v>
      </c>
      <c r="X54" s="14" t="str">
        <f t="shared" si="184"/>
        <v>0</v>
      </c>
      <c r="Y54" s="14" t="str">
        <f t="shared" si="184"/>
        <v>0</v>
      </c>
      <c r="Z54" s="14" t="str">
        <f t="shared" si="184"/>
        <v>1</v>
      </c>
      <c r="AA54" s="14" t="str">
        <f t="shared" si="184"/>
        <v>0</v>
      </c>
      <c r="AB54" s="19" t="s">
        <v>5</v>
      </c>
      <c r="AE54" s="22"/>
      <c r="AF54" s="17" t="s">
        <v>74</v>
      </c>
      <c r="AG54" s="16">
        <f>D14</f>
        <v>-20718</v>
      </c>
      <c r="AH54" s="19" t="s">
        <v>7</v>
      </c>
    </row>
    <row r="55" spans="6:35" x14ac:dyDescent="0.3">
      <c r="G55" s="8" t="s">
        <v>9</v>
      </c>
      <c r="I55" s="9">
        <f t="shared" ref="I55" si="185">IF(I54=".",".",MOD(I54+I53+J52,2))</f>
        <v>0</v>
      </c>
      <c r="J55" s="9">
        <f t="shared" ref="J55" si="186">IF(J54=".",".",MOD(J54+J53+K52,2))</f>
        <v>1</v>
      </c>
      <c r="K55" s="9">
        <f t="shared" ref="K55" si="187">IF(K54=".",".",MOD(K54+K53+L52,2))</f>
        <v>1</v>
      </c>
      <c r="L55" s="9">
        <f t="shared" ref="L55" si="188">IF(L54=".",".",MOD(L54+L53+M52,2))</f>
        <v>1</v>
      </c>
      <c r="M55" s="9" t="str">
        <f t="shared" ref="M55" si="189">IF(M54=".",".",MOD(M54+M53+N52,2))</f>
        <v>.</v>
      </c>
      <c r="N55" s="9">
        <f t="shared" ref="N55" si="190">IF(N54=".",".",MOD(N54+N53+O52,2))</f>
        <v>0</v>
      </c>
      <c r="O55" s="9">
        <f t="shared" ref="O55" si="191">IF(O54=".",".",MOD(O54+O53+P52,2))</f>
        <v>1</v>
      </c>
      <c r="P55" s="9">
        <f t="shared" ref="P55" si="192">IF(P54=".",".",MOD(P54+P53+Q52,2))</f>
        <v>1</v>
      </c>
      <c r="Q55" s="9">
        <f t="shared" ref="Q55" si="193">IF(Q54=".",".",MOD(Q54+Q53+R52,2))</f>
        <v>1</v>
      </c>
      <c r="R55" s="9" t="str">
        <f t="shared" ref="R55" si="194">IF(R54=".",".",MOD(R54+R53+S52,2))</f>
        <v>.</v>
      </c>
      <c r="S55" s="9">
        <f t="shared" ref="S55" si="195">IF(S54=".",".",MOD(S54+S53+T52,2))</f>
        <v>1</v>
      </c>
      <c r="T55" s="9">
        <f t="shared" ref="T55" si="196">IF(T54=".",".",MOD(T54+T53+U52,2))</f>
        <v>0</v>
      </c>
      <c r="U55" s="9">
        <f t="shared" ref="U55" si="197">IF(U54=".",".",MOD(U54+U53+V52,2))</f>
        <v>0</v>
      </c>
      <c r="V55" s="9">
        <f t="shared" ref="V55" si="198">IF(V54=".",".",MOD(V54+V53+W52,2))</f>
        <v>1</v>
      </c>
      <c r="W55" s="9" t="str">
        <f t="shared" ref="W55" si="199">IF(W54=".",".",MOD(W54+W53+X52,2))</f>
        <v>.</v>
      </c>
      <c r="X55" s="9">
        <f t="shared" ref="X55" si="200">IF(X54=".",".",MOD(X54+X53+Y52,2))</f>
        <v>1</v>
      </c>
      <c r="Y55" s="9">
        <f t="shared" ref="Y55" si="201">IF(Y54=".",".",MOD(Y54+Y53+Z52,2))</f>
        <v>0</v>
      </c>
      <c r="Z55" s="9">
        <f t="shared" ref="Z55" si="202">IF(Z54=".",".",MOD(Z54+Z53+AA52,2))</f>
        <v>1</v>
      </c>
      <c r="AA55" s="9">
        <f>IF(AA54=".",".",MOD(AA54+AA53+AB52,2))</f>
        <v>0</v>
      </c>
      <c r="AB55" s="11" t="s">
        <v>8</v>
      </c>
      <c r="AC55">
        <f>IF(I55=0,_xlfn.DECIMAL(I55&amp;J55&amp;K55&amp;L55&amp;N55&amp;O55&amp;P55&amp;Q55&amp;S55&amp;T55&amp;U55&amp;V55&amp;X55&amp;Y55&amp;Z55&amp;AA55,2),(-1)*_xlfn.DECIMAL(I56&amp;J56&amp;K56&amp;L56&amp;N56&amp;O56&amp;P56&amp;Q56&amp;S56&amp;T56&amp;U56&amp;V56&amp;X56&amp;Y56&amp;Z56&amp;AA56,2))</f>
        <v>30618</v>
      </c>
      <c r="AD55" s="19" t="s">
        <v>7</v>
      </c>
      <c r="AE55" s="19"/>
      <c r="AG55">
        <f>AG53+AG54</f>
        <v>-34918</v>
      </c>
      <c r="AH55" s="19" t="s">
        <v>7</v>
      </c>
      <c r="AI55" t="str">
        <f>IF(AND(AC55=AG55,AC55&gt;=0,J57=0,AG53&gt;=0,AG54&gt;=0),$AL$6,IF(AND(OR(AND(AG53&gt;=0,AG54&lt;0),AND(AG53&lt;0,AG54&gt;=0)),AC55=AG55),$AL$8,IF(AND(AG53&gt;=0,AG54&gt;=0,Y57=1,AC55&lt;&gt;AG55),$AL$7,IF(AND(AG53&lt;0,AG54&lt;0,AC55&gt;=0,Y57=1),$AL$9,IF(AND(AG53&lt;0,AG54&lt;0,AC55=AG55),$AL$10,"Ошибка с входными данными")))))</f>
        <v>В ходе операции сложения двух отрицательных чисел получен положительный результат, что являвется признаком переполнения и Carry flag'a (Флаг OF и CF)</v>
      </c>
    </row>
    <row r="56" spans="6:35" x14ac:dyDescent="0.3">
      <c r="G56" s="8" t="s">
        <v>10</v>
      </c>
      <c r="I56" s="8" t="str">
        <f>IF(I$5="",".",MID(IF($I55=1,_xlfn.BASE(ABS(_xlfn.DECIMAL($I55&amp;$J55&amp;$K55&amp;$L55&amp;$N55&amp;$O55&amp;$P55&amp;$Q55&amp;$S55&amp;$T55&amp;$U55&amp;$V55&amp;$X55&amp;$Y55&amp;$Z55&amp;$AA55,2)-2^16),2,16),""),ABS(16-I$5),1))</f>
        <v/>
      </c>
      <c r="J56" s="8" t="str">
        <f t="shared" ref="J56" si="203">IF(J$5="",".",MID(IF($I55=1,_xlfn.BASE(ABS(_xlfn.DECIMAL($I55&amp;$J55&amp;$K55&amp;$L55&amp;$N55&amp;$O55&amp;$P55&amp;$Q55&amp;$S55&amp;$T55&amp;$U55&amp;$V55&amp;$X55&amp;$Y55&amp;$Z55&amp;$AA55,2)-2^16),2,16),""),ABS(16-J$5),1))</f>
        <v/>
      </c>
      <c r="K56" s="8" t="str">
        <f t="shared" ref="K56" si="204">IF(K$5="",".",MID(IF($I55=1,_xlfn.BASE(ABS(_xlfn.DECIMAL($I55&amp;$J55&amp;$K55&amp;$L55&amp;$N55&amp;$O55&amp;$P55&amp;$Q55&amp;$S55&amp;$T55&amp;$U55&amp;$V55&amp;$X55&amp;$Y55&amp;$Z55&amp;$AA55,2)-2^16),2,16),""),ABS(16-K$5),1))</f>
        <v/>
      </c>
      <c r="L56" s="8" t="str">
        <f t="shared" ref="L56" si="205">IF(L$5="",".",MID(IF($I55=1,_xlfn.BASE(ABS(_xlfn.DECIMAL($I55&amp;$J55&amp;$K55&amp;$L55&amp;$N55&amp;$O55&amp;$P55&amp;$Q55&amp;$S55&amp;$T55&amp;$U55&amp;$V55&amp;$X55&amp;$Y55&amp;$Z55&amp;$AA55,2)-2^16),2,16),""),ABS(16-L$5),1))</f>
        <v/>
      </c>
      <c r="M56" s="8" t="str">
        <f t="shared" ref="M56" si="206">IF(M$5="",".",MID(IF($I55=1,_xlfn.BASE(ABS(_xlfn.DECIMAL($I55&amp;$J55&amp;$K55&amp;$L55&amp;$N55&amp;$O55&amp;$P55&amp;$Q55&amp;$S55&amp;$T55&amp;$U55&amp;$V55&amp;$X55&amp;$Y55&amp;$Z55&amp;$AA55,2)-2^16),2,16),""),ABS(16-M$5),1))</f>
        <v>.</v>
      </c>
      <c r="N56" s="8" t="str">
        <f t="shared" ref="N56" si="207">IF(N$5="",".",MID(IF($I55=1,_xlfn.BASE(ABS(_xlfn.DECIMAL($I55&amp;$J55&amp;$K55&amp;$L55&amp;$N55&amp;$O55&amp;$P55&amp;$Q55&amp;$S55&amp;$T55&amp;$U55&amp;$V55&amp;$X55&amp;$Y55&amp;$Z55&amp;$AA55,2)-2^16),2,16),""),ABS(16-N$5),1))</f>
        <v/>
      </c>
      <c r="O56" s="8" t="str">
        <f t="shared" ref="O56" si="208">IF(O$5="",".",MID(IF($I55=1,_xlfn.BASE(ABS(_xlfn.DECIMAL($I55&amp;$J55&amp;$K55&amp;$L55&amp;$N55&amp;$O55&amp;$P55&amp;$Q55&amp;$S55&amp;$T55&amp;$U55&amp;$V55&amp;$X55&amp;$Y55&amp;$Z55&amp;$AA55,2)-2^16),2,16),""),ABS(16-O$5),1))</f>
        <v/>
      </c>
      <c r="P56" s="8" t="str">
        <f t="shared" ref="P56" si="209">IF(P$5="",".",MID(IF($I55=1,_xlfn.BASE(ABS(_xlfn.DECIMAL($I55&amp;$J55&amp;$K55&amp;$L55&amp;$N55&amp;$O55&amp;$P55&amp;$Q55&amp;$S55&amp;$T55&amp;$U55&amp;$V55&amp;$X55&amp;$Y55&amp;$Z55&amp;$AA55,2)-2^16),2,16),""),ABS(16-P$5),1))</f>
        <v/>
      </c>
      <c r="Q56" s="8" t="str">
        <f>IF(Q$5="",".",MID(IF($I55=1,_xlfn.BASE(ABS(_xlfn.DECIMAL($I55&amp;$J55&amp;$K55&amp;$L55&amp;$N55&amp;$O55&amp;$P55&amp;$Q55&amp;$S55&amp;$T55&amp;$U55&amp;$V55&amp;$X55&amp;$Y55&amp;$Z55&amp;$AA55,2)-2^16),2,16),""),ABS(16-Q$5),1))</f>
        <v/>
      </c>
      <c r="R56" s="8" t="str">
        <f t="shared" ref="R56" si="210">IF(R$5="",".",MID(IF($I55=1,_xlfn.BASE(ABS(_xlfn.DECIMAL($I55&amp;$J55&amp;$K55&amp;$L55&amp;$N55&amp;$O55&amp;$P55&amp;$Q55&amp;$S55&amp;$T55&amp;$U55&amp;$V55&amp;$X55&amp;$Y55&amp;$Z55&amp;$AA55,2)-2^16),2,16),""),ABS(16-R$5),1))</f>
        <v>.</v>
      </c>
      <c r="S56" s="8" t="str">
        <f t="shared" ref="S56" si="211">IF(S$5="",".",MID(IF($I55=1,_xlfn.BASE(ABS(_xlfn.DECIMAL($I55&amp;$J55&amp;$K55&amp;$L55&amp;$N55&amp;$O55&amp;$P55&amp;$Q55&amp;$S55&amp;$T55&amp;$U55&amp;$V55&amp;$X55&amp;$Y55&amp;$Z55&amp;$AA55,2)-2^16),2,16),""),ABS(16-S$5),1))</f>
        <v/>
      </c>
      <c r="T56" s="8" t="str">
        <f t="shared" ref="T56" si="212">IF(T$5="",".",MID(IF($I55=1,_xlfn.BASE(ABS(_xlfn.DECIMAL($I55&amp;$J55&amp;$K55&amp;$L55&amp;$N55&amp;$O55&amp;$P55&amp;$Q55&amp;$S55&amp;$T55&amp;$U55&amp;$V55&amp;$X55&amp;$Y55&amp;$Z55&amp;$AA55,2)-2^16),2,16),""),ABS(16-T$5),1))</f>
        <v/>
      </c>
      <c r="U56" s="8" t="str">
        <f t="shared" ref="U56" si="213">IF(U$5="",".",MID(IF($I55=1,_xlfn.BASE(ABS(_xlfn.DECIMAL($I55&amp;$J55&amp;$K55&amp;$L55&amp;$N55&amp;$O55&amp;$P55&amp;$Q55&amp;$S55&amp;$T55&amp;$U55&amp;$V55&amp;$X55&amp;$Y55&amp;$Z55&amp;$AA55,2)-2^16),2,16),""),ABS(16-U$5),1))</f>
        <v/>
      </c>
      <c r="V56" s="8" t="str">
        <f t="shared" ref="V56" si="214">IF(V$5="",".",MID(IF($I55=1,_xlfn.BASE(ABS(_xlfn.DECIMAL($I55&amp;$J55&amp;$K55&amp;$L55&amp;$N55&amp;$O55&amp;$P55&amp;$Q55&amp;$S55&amp;$T55&amp;$U55&amp;$V55&amp;$X55&amp;$Y55&amp;$Z55&amp;$AA55,2)-2^16),2,16),""),ABS(16-V$5),1))</f>
        <v/>
      </c>
      <c r="W56" s="8" t="str">
        <f t="shared" ref="W56" si="215">IF(W$5="",".",MID(IF($I55=1,_xlfn.BASE(ABS(_xlfn.DECIMAL($I55&amp;$J55&amp;$K55&amp;$L55&amp;$N55&amp;$O55&amp;$P55&amp;$Q55&amp;$S55&amp;$T55&amp;$U55&amp;$V55&amp;$X55&amp;$Y55&amp;$Z55&amp;$AA55,2)-2^16),2,16),""),ABS(16-W$5),1))</f>
        <v>.</v>
      </c>
      <c r="X56" s="8" t="str">
        <f t="shared" ref="X56" si="216">IF(X$5="",".",MID(IF($I55=1,_xlfn.BASE(ABS(_xlfn.DECIMAL($I55&amp;$J55&amp;$K55&amp;$L55&amp;$N55&amp;$O55&amp;$P55&amp;$Q55&amp;$S55&amp;$T55&amp;$U55&amp;$V55&amp;$X55&amp;$Y55&amp;$Z55&amp;$AA55,2)-2^16),2,16),""),ABS(16-X$5),1))</f>
        <v/>
      </c>
      <c r="Y56" s="8" t="str">
        <f t="shared" ref="Y56" si="217">IF(Y$5="",".",MID(IF($I55=1,_xlfn.BASE(ABS(_xlfn.DECIMAL($I55&amp;$J55&amp;$K55&amp;$L55&amp;$N55&amp;$O55&amp;$P55&amp;$Q55&amp;$S55&amp;$T55&amp;$U55&amp;$V55&amp;$X55&amp;$Y55&amp;$Z55&amp;$AA55,2)-2^16),2,16),""),ABS(16-Y$5),1))</f>
        <v/>
      </c>
      <c r="Z56" s="8" t="str">
        <f t="shared" ref="Z56" si="218">IF(Z$5="",".",MID(IF($I55=1,_xlfn.BASE(ABS(_xlfn.DECIMAL($I55&amp;$J55&amp;$K55&amp;$L55&amp;$N55&amp;$O55&amp;$P55&amp;$Q55&amp;$S55&amp;$T55&amp;$U55&amp;$V55&amp;$X55&amp;$Y55&amp;$Z55&amp;$AA55,2)-2^16),2,16),""),ABS(16-Z$5),1))</f>
        <v/>
      </c>
      <c r="AA56" s="8" t="str">
        <f t="shared" ref="AA56" si="219">IF(AA$5="",".",MID(IF($I55=1,_xlfn.BASE(ABS(_xlfn.DECIMAL($I55&amp;$J55&amp;$K55&amp;$L55&amp;$N55&amp;$O55&amp;$P55&amp;$Q55&amp;$S55&amp;$T55&amp;$U55&amp;$V55&amp;$X55&amp;$Y55&amp;$Z55&amp;$AA55,2)-2^16),2,16),""),ABS(16-AA$5),1))</f>
        <v/>
      </c>
    </row>
    <row r="57" spans="6:35" x14ac:dyDescent="0.3">
      <c r="I57" t="s">
        <v>11</v>
      </c>
      <c r="J57" s="8">
        <f>I52</f>
        <v>1</v>
      </c>
      <c r="L57" t="s">
        <v>12</v>
      </c>
      <c r="M57" s="8">
        <f>MOD(S55+T55+U55+V55+X55+Y55+Z55+AA55,2)</f>
        <v>0</v>
      </c>
      <c r="O57" t="s">
        <v>13</v>
      </c>
      <c r="P57" s="8">
        <f>X52</f>
        <v>0</v>
      </c>
      <c r="R57" t="s">
        <v>14</v>
      </c>
      <c r="S57" s="8">
        <f>IF(AC55=0,1,0)</f>
        <v>0</v>
      </c>
      <c r="U57" t="s">
        <v>16</v>
      </c>
      <c r="V57" s="8">
        <f>I55</f>
        <v>0</v>
      </c>
      <c r="X57" t="s">
        <v>15</v>
      </c>
      <c r="Y57" s="8">
        <f>MOD(J52+I52,2)</f>
        <v>1</v>
      </c>
    </row>
    <row r="60" spans="6:35" x14ac:dyDescent="0.3">
      <c r="G60" s="8" t="s">
        <v>6</v>
      </c>
      <c r="I60" s="8">
        <f>IF(I61=".",J60,IF((J60+I61+I62) &gt;= 2,1,0))</f>
        <v>0</v>
      </c>
      <c r="J60" s="8">
        <f t="shared" ref="J60" si="220">IF(J61=".",K60,IF((K60+J61+J62) &gt;= 2,1,0))</f>
        <v>0</v>
      </c>
      <c r="K60" s="8">
        <f t="shared" ref="K60" si="221">IF(K61=".",L60,IF((L60+K61+K62) &gt;= 2,1,0))</f>
        <v>0</v>
      </c>
      <c r="L60" s="8">
        <f t="shared" ref="L60" si="222">IF(L61=".",M60,IF((M60+L61+L62) &gt;= 2,1,0))</f>
        <v>1</v>
      </c>
      <c r="M60" s="8">
        <f t="shared" ref="M60" si="223">IF(M61=".",N60,IF((N60+M61+M62) &gt;= 2,1,0))</f>
        <v>1</v>
      </c>
      <c r="N60" s="8">
        <f t="shared" ref="N60" si="224">IF(N61=".",O60,IF((O60+N61+N62) &gt;= 2,1,0))</f>
        <v>1</v>
      </c>
      <c r="O60" s="8">
        <f t="shared" ref="O60" si="225">IF(O61=".",P60,IF((P60+O61+O62) &gt;= 2,1,0))</f>
        <v>0</v>
      </c>
      <c r="P60" s="8">
        <f t="shared" ref="P60" si="226">IF(P61=".",Q60,IF((Q60+P61+P62) &gt;= 2,1,0))</f>
        <v>0</v>
      </c>
      <c r="Q60" s="8">
        <f t="shared" ref="Q60" si="227">IF(Q61=".",R60,IF((R60+Q61+Q62) &gt;= 2,1,0))</f>
        <v>0</v>
      </c>
      <c r="R60" s="8">
        <f t="shared" ref="R60" si="228">IF(R61=".",S60,IF((S60+R61+R62) &gt;= 2,1,0))</f>
        <v>0</v>
      </c>
      <c r="S60" s="8">
        <f t="shared" ref="S60" si="229">IF(S61=".",T60,IF((T60+S61+S62) &gt;= 2,1,0))</f>
        <v>0</v>
      </c>
      <c r="T60" s="8">
        <f t="shared" ref="T60" si="230">IF(T61=".",U60,IF((U60+T61+T62) &gt;= 2,1,0))</f>
        <v>0</v>
      </c>
      <c r="U60" s="8">
        <f t="shared" ref="U60" si="231">IF(U61=".",V60,IF((V60+U61+U62) &gt;= 2,1,0))</f>
        <v>0</v>
      </c>
      <c r="V60" s="8">
        <f t="shared" ref="V60" si="232">IF(V61=".",W60,IF((W60+V61+V62) &gt;= 2,1,0))</f>
        <v>0</v>
      </c>
      <c r="W60" s="8">
        <f t="shared" ref="W60" si="233">IF(W61=".",X60,IF((X60+W61+W62) &gt;= 2,1,0))</f>
        <v>0</v>
      </c>
      <c r="X60" s="8">
        <f t="shared" ref="X60" si="234">IF(X61=".",Y60,IF((Y60+X61+X62) &gt;= 2,1,0))</f>
        <v>0</v>
      </c>
      <c r="Y60" s="8">
        <f t="shared" ref="Y60" si="235">IF(Y61=".",Z60,IF((Z60+Y61+Y62) &gt;= 2,1,0))</f>
        <v>0</v>
      </c>
      <c r="Z60" s="8">
        <f>IF(Z61=".",AA60,IF((AA60+Z61+Z62) &gt;= 2,1,0))</f>
        <v>0</v>
      </c>
      <c r="AA60" s="8">
        <f>IF(AA61=".",AB60,IF((AB60+AA61+AA62) &gt;= 2,1,0))</f>
        <v>0</v>
      </c>
    </row>
    <row r="61" spans="6:35" x14ac:dyDescent="0.3">
      <c r="F61" s="22" t="s">
        <v>23</v>
      </c>
      <c r="G61" s="8" t="s">
        <v>62</v>
      </c>
      <c r="I61" s="9" t="str">
        <f>I6</f>
        <v>0</v>
      </c>
      <c r="J61" s="9" t="str">
        <f t="shared" ref="J61:AA61" si="236">J6</f>
        <v>0</v>
      </c>
      <c r="K61" s="9" t="str">
        <f t="shared" si="236"/>
        <v>0</v>
      </c>
      <c r="L61" s="9" t="str">
        <f t="shared" si="236"/>
        <v>1</v>
      </c>
      <c r="M61" s="9" t="str">
        <f t="shared" si="236"/>
        <v>.</v>
      </c>
      <c r="N61" s="9" t="str">
        <f t="shared" si="236"/>
        <v>1</v>
      </c>
      <c r="O61" s="9" t="str">
        <f t="shared" si="236"/>
        <v>0</v>
      </c>
      <c r="P61" s="9" t="str">
        <f t="shared" si="236"/>
        <v>0</v>
      </c>
      <c r="Q61" s="9" t="str">
        <f>Q6</f>
        <v>1</v>
      </c>
      <c r="R61" s="9" t="str">
        <f t="shared" si="236"/>
        <v>.</v>
      </c>
      <c r="S61" s="9" t="str">
        <f t="shared" si="236"/>
        <v>0</v>
      </c>
      <c r="T61" s="9" t="str">
        <f t="shared" si="236"/>
        <v>1</v>
      </c>
      <c r="U61" s="9" t="str">
        <f t="shared" si="236"/>
        <v>1</v>
      </c>
      <c r="V61" s="9" t="str">
        <f t="shared" si="236"/>
        <v>1</v>
      </c>
      <c r="W61" s="9" t="str">
        <f t="shared" si="236"/>
        <v>.</v>
      </c>
      <c r="X61" s="9" t="str">
        <f t="shared" si="236"/>
        <v>0</v>
      </c>
      <c r="Y61" s="9" t="str">
        <f t="shared" si="236"/>
        <v>1</v>
      </c>
      <c r="Z61" s="9" t="str">
        <f t="shared" si="236"/>
        <v>1</v>
      </c>
      <c r="AA61" s="9" t="str">
        <f t="shared" si="236"/>
        <v>0</v>
      </c>
      <c r="AB61" s="19" t="s">
        <v>5</v>
      </c>
      <c r="AE61" s="22" t="s">
        <v>23</v>
      </c>
      <c r="AF61" s="7" t="s">
        <v>63</v>
      </c>
      <c r="AG61">
        <f>D6</f>
        <v>6518</v>
      </c>
      <c r="AH61" s="19" t="s">
        <v>7</v>
      </c>
    </row>
    <row r="62" spans="6:35" ht="15" thickBot="1" x14ac:dyDescent="0.35">
      <c r="F62" s="22"/>
      <c r="G62" s="8" t="s">
        <v>71</v>
      </c>
      <c r="I62" s="14" t="str">
        <f>I13</f>
        <v>1</v>
      </c>
      <c r="J62" s="14" t="str">
        <f t="shared" ref="J62:AA62" si="237">J13</f>
        <v>1</v>
      </c>
      <c r="K62" s="14" t="str">
        <f t="shared" si="237"/>
        <v>0</v>
      </c>
      <c r="L62" s="14" t="str">
        <f t="shared" si="237"/>
        <v>0</v>
      </c>
      <c r="M62" s="14" t="str">
        <f t="shared" si="237"/>
        <v>.</v>
      </c>
      <c r="N62" s="14" t="str">
        <f t="shared" si="237"/>
        <v>1</v>
      </c>
      <c r="O62" s="14" t="str">
        <f t="shared" si="237"/>
        <v>0</v>
      </c>
      <c r="P62" s="14" t="str">
        <f t="shared" si="237"/>
        <v>0</v>
      </c>
      <c r="Q62" s="14" t="str">
        <f t="shared" si="237"/>
        <v>0</v>
      </c>
      <c r="R62" s="14" t="str">
        <f t="shared" si="237"/>
        <v>.</v>
      </c>
      <c r="S62" s="14" t="str">
        <f t="shared" si="237"/>
        <v>1</v>
      </c>
      <c r="T62" s="14" t="str">
        <f t="shared" si="237"/>
        <v>0</v>
      </c>
      <c r="U62" s="14" t="str">
        <f t="shared" si="237"/>
        <v>0</v>
      </c>
      <c r="V62" s="14" t="str">
        <f t="shared" si="237"/>
        <v>0</v>
      </c>
      <c r="W62" s="14" t="str">
        <f t="shared" si="237"/>
        <v>.</v>
      </c>
      <c r="X62" s="14" t="str">
        <f t="shared" si="237"/>
        <v>1</v>
      </c>
      <c r="Y62" s="14" t="str">
        <f t="shared" si="237"/>
        <v>0</v>
      </c>
      <c r="Z62" s="14" t="str">
        <f t="shared" si="237"/>
        <v>0</v>
      </c>
      <c r="AA62" s="14" t="str">
        <f t="shared" si="237"/>
        <v>0</v>
      </c>
      <c r="AB62" s="19" t="s">
        <v>5</v>
      </c>
      <c r="AE62" s="22"/>
      <c r="AF62" s="17" t="s">
        <v>72</v>
      </c>
      <c r="AG62" s="16">
        <f>D13</f>
        <v>-14200</v>
      </c>
      <c r="AH62" s="19" t="s">
        <v>7</v>
      </c>
    </row>
    <row r="63" spans="6:35" x14ac:dyDescent="0.3">
      <c r="G63" s="8" t="s">
        <v>9</v>
      </c>
      <c r="I63" s="9">
        <f t="shared" ref="I63" si="238">IF(I62=".",".",MOD(I62+I61+J60,2))</f>
        <v>1</v>
      </c>
      <c r="J63" s="9">
        <f t="shared" ref="J63" si="239">IF(J62=".",".",MOD(J62+J61+K60,2))</f>
        <v>1</v>
      </c>
      <c r="K63" s="9">
        <f t="shared" ref="K63" si="240">IF(K62=".",".",MOD(K62+K61+L60,2))</f>
        <v>1</v>
      </c>
      <c r="L63" s="9">
        <f t="shared" ref="L63" si="241">IF(L62=".",".",MOD(L62+L61+M60,2))</f>
        <v>0</v>
      </c>
      <c r="M63" s="9" t="str">
        <f t="shared" ref="M63" si="242">IF(M62=".",".",MOD(M62+M61+N60,2))</f>
        <v>.</v>
      </c>
      <c r="N63" s="9">
        <f t="shared" ref="N63" si="243">IF(N62=".",".",MOD(N62+N61+O60,2))</f>
        <v>0</v>
      </c>
      <c r="O63" s="9">
        <f t="shared" ref="O63" si="244">IF(O62=".",".",MOD(O62+O61+P60,2))</f>
        <v>0</v>
      </c>
      <c r="P63" s="9">
        <f t="shared" ref="P63" si="245">IF(P62=".",".",MOD(P62+P61+Q60,2))</f>
        <v>0</v>
      </c>
      <c r="Q63" s="9">
        <f t="shared" ref="Q63" si="246">IF(Q62=".",".",MOD(Q62+Q61+R60,2))</f>
        <v>1</v>
      </c>
      <c r="R63" s="9" t="str">
        <f t="shared" ref="R63" si="247">IF(R62=".",".",MOD(R62+R61+S60,2))</f>
        <v>.</v>
      </c>
      <c r="S63" s="9">
        <f t="shared" ref="S63" si="248">IF(S62=".",".",MOD(S62+S61+T60,2))</f>
        <v>1</v>
      </c>
      <c r="T63" s="9">
        <f t="shared" ref="T63" si="249">IF(T62=".",".",MOD(T62+T61+U60,2))</f>
        <v>1</v>
      </c>
      <c r="U63" s="9">
        <f t="shared" ref="U63" si="250">IF(U62=".",".",MOD(U62+U61+V60,2))</f>
        <v>1</v>
      </c>
      <c r="V63" s="9">
        <f t="shared" ref="V63" si="251">IF(V62=".",".",MOD(V62+V61+W60,2))</f>
        <v>1</v>
      </c>
      <c r="W63" s="9" t="str">
        <f t="shared" ref="W63" si="252">IF(W62=".",".",MOD(W62+W61+X60,2))</f>
        <v>.</v>
      </c>
      <c r="X63" s="9">
        <f t="shared" ref="X63" si="253">IF(X62=".",".",MOD(X62+X61+Y60,2))</f>
        <v>1</v>
      </c>
      <c r="Y63" s="9">
        <f t="shared" ref="Y63" si="254">IF(Y62=".",".",MOD(Y62+Y61+Z60,2))</f>
        <v>1</v>
      </c>
      <c r="Z63" s="9">
        <f t="shared" ref="Z63" si="255">IF(Z62=".",".",MOD(Z62+Z61+AA60,2))</f>
        <v>1</v>
      </c>
      <c r="AA63" s="9">
        <f>IF(AA62=".",".",MOD(AA62+AA61+AB60,2))</f>
        <v>0</v>
      </c>
      <c r="AB63" s="11" t="s">
        <v>8</v>
      </c>
      <c r="AC63">
        <f>IF(I63=0,_xlfn.DECIMAL(I63&amp;J63&amp;K63&amp;L63&amp;N63&amp;O63&amp;P63&amp;Q63&amp;S63&amp;T63&amp;U63&amp;V63&amp;X63&amp;Y63&amp;Z63&amp;AA63,2),(-1)*_xlfn.DECIMAL(I64&amp;J64&amp;K64&amp;L64&amp;N64&amp;O64&amp;P64&amp;Q64&amp;S64&amp;T64&amp;U64&amp;V64&amp;X64&amp;Y64&amp;Z64&amp;AA64,2))</f>
        <v>-7682</v>
      </c>
      <c r="AD63" s="19" t="s">
        <v>7</v>
      </c>
      <c r="AE63" s="19"/>
      <c r="AG63">
        <f>AG61+AG62</f>
        <v>-7682</v>
      </c>
      <c r="AH63" s="19" t="s">
        <v>7</v>
      </c>
      <c r="AI63" t="str">
        <f>IF(AND(AC63=AG63,AC63&gt;=0,J65=0,AG61&gt;=0,AG62&gt;=0),$AL$6,IF(AND(OR(AND(AG61&gt;=0,AG62&lt;0),AND(AG61&lt;0,AG62&gt;=0)),AC63=AG63),$AL$8,IF(AND(AG61&gt;=0,AG62&gt;=0,Y65=1,AC63&lt;&gt;AG63),$AL$7,IF(AND(AG61&lt;0,AG62&lt;0,AC63&gt;=0,Y65=1),$AL$9,IF(AND(AG61&lt;0,AG62&lt;0,AC63=AG63),$AL$10,"Ошибка с входными данными")))))</f>
        <v>В ходе операции сложения неотрицательного и отрицательного чисел был получен корректный результат. При том перенос за разрядную сетку не учитывается</v>
      </c>
    </row>
    <row r="64" spans="6:35" x14ac:dyDescent="0.3">
      <c r="G64" s="8" t="s">
        <v>10</v>
      </c>
      <c r="I64" s="8" t="str">
        <f>IF(I$5="",".",MID(IF($I63=1,_xlfn.BASE(ABS(_xlfn.DECIMAL($I63&amp;$J63&amp;$K63&amp;$L63&amp;$N63&amp;$O63&amp;$P63&amp;$Q63&amp;$S63&amp;$T63&amp;$U63&amp;$V63&amp;$X63&amp;$Y63&amp;$Z63&amp;$AA63,2)-2^16),2,16),""),ABS(16-I$5),1))</f>
        <v>0</v>
      </c>
      <c r="J64" s="8" t="str">
        <f t="shared" ref="J64" si="256">IF(J$5="",".",MID(IF($I63=1,_xlfn.BASE(ABS(_xlfn.DECIMAL($I63&amp;$J63&amp;$K63&amp;$L63&amp;$N63&amp;$O63&amp;$P63&amp;$Q63&amp;$S63&amp;$T63&amp;$U63&amp;$V63&amp;$X63&amp;$Y63&amp;$Z63&amp;$AA63,2)-2^16),2,16),""),ABS(16-J$5),1))</f>
        <v>0</v>
      </c>
      <c r="K64" s="8" t="str">
        <f t="shared" ref="K64" si="257">IF(K$5="",".",MID(IF($I63=1,_xlfn.BASE(ABS(_xlfn.DECIMAL($I63&amp;$J63&amp;$K63&amp;$L63&amp;$N63&amp;$O63&amp;$P63&amp;$Q63&amp;$S63&amp;$T63&amp;$U63&amp;$V63&amp;$X63&amp;$Y63&amp;$Z63&amp;$AA63,2)-2^16),2,16),""),ABS(16-K$5),1))</f>
        <v>0</v>
      </c>
      <c r="L64" s="8" t="str">
        <f t="shared" ref="L64" si="258">IF(L$5="",".",MID(IF($I63=1,_xlfn.BASE(ABS(_xlfn.DECIMAL($I63&amp;$J63&amp;$K63&amp;$L63&amp;$N63&amp;$O63&amp;$P63&amp;$Q63&amp;$S63&amp;$T63&amp;$U63&amp;$V63&amp;$X63&amp;$Y63&amp;$Z63&amp;$AA63,2)-2^16),2,16),""),ABS(16-L$5),1))</f>
        <v>1</v>
      </c>
      <c r="M64" s="8" t="str">
        <f t="shared" ref="M64" si="259">IF(M$5="",".",MID(IF($I63=1,_xlfn.BASE(ABS(_xlfn.DECIMAL($I63&amp;$J63&amp;$K63&amp;$L63&amp;$N63&amp;$O63&amp;$P63&amp;$Q63&amp;$S63&amp;$T63&amp;$U63&amp;$V63&amp;$X63&amp;$Y63&amp;$Z63&amp;$AA63,2)-2^16),2,16),""),ABS(16-M$5),1))</f>
        <v>.</v>
      </c>
      <c r="N64" s="8" t="str">
        <f t="shared" ref="N64" si="260">IF(N$5="",".",MID(IF($I63=1,_xlfn.BASE(ABS(_xlfn.DECIMAL($I63&amp;$J63&amp;$K63&amp;$L63&amp;$N63&amp;$O63&amp;$P63&amp;$Q63&amp;$S63&amp;$T63&amp;$U63&amp;$V63&amp;$X63&amp;$Y63&amp;$Z63&amp;$AA63,2)-2^16),2,16),""),ABS(16-N$5),1))</f>
        <v>1</v>
      </c>
      <c r="O64" s="8" t="str">
        <f t="shared" ref="O64" si="261">IF(O$5="",".",MID(IF($I63=1,_xlfn.BASE(ABS(_xlfn.DECIMAL($I63&amp;$J63&amp;$K63&amp;$L63&amp;$N63&amp;$O63&amp;$P63&amp;$Q63&amp;$S63&amp;$T63&amp;$U63&amp;$V63&amp;$X63&amp;$Y63&amp;$Z63&amp;$AA63,2)-2^16),2,16),""),ABS(16-O$5),1))</f>
        <v>1</v>
      </c>
      <c r="P64" s="8" t="str">
        <f t="shared" ref="P64" si="262">IF(P$5="",".",MID(IF($I63=1,_xlfn.BASE(ABS(_xlfn.DECIMAL($I63&amp;$J63&amp;$K63&amp;$L63&amp;$N63&amp;$O63&amp;$P63&amp;$Q63&amp;$S63&amp;$T63&amp;$U63&amp;$V63&amp;$X63&amp;$Y63&amp;$Z63&amp;$AA63,2)-2^16),2,16),""),ABS(16-P$5),1))</f>
        <v>1</v>
      </c>
      <c r="Q64" s="8" t="str">
        <f>IF(Q$5="",".",MID(IF($I63=1,_xlfn.BASE(ABS(_xlfn.DECIMAL($I63&amp;$J63&amp;$K63&amp;$L63&amp;$N63&amp;$O63&amp;$P63&amp;$Q63&amp;$S63&amp;$T63&amp;$U63&amp;$V63&amp;$X63&amp;$Y63&amp;$Z63&amp;$AA63,2)-2^16),2,16),""),ABS(16-Q$5),1))</f>
        <v>0</v>
      </c>
      <c r="R64" s="8" t="str">
        <f t="shared" ref="R64" si="263">IF(R$5="",".",MID(IF($I63=1,_xlfn.BASE(ABS(_xlfn.DECIMAL($I63&amp;$J63&amp;$K63&amp;$L63&amp;$N63&amp;$O63&amp;$P63&amp;$Q63&amp;$S63&amp;$T63&amp;$U63&amp;$V63&amp;$X63&amp;$Y63&amp;$Z63&amp;$AA63,2)-2^16),2,16),""),ABS(16-R$5),1))</f>
        <v>.</v>
      </c>
      <c r="S64" s="8" t="str">
        <f t="shared" ref="S64" si="264">IF(S$5="",".",MID(IF($I63=1,_xlfn.BASE(ABS(_xlfn.DECIMAL($I63&amp;$J63&amp;$K63&amp;$L63&amp;$N63&amp;$O63&amp;$P63&amp;$Q63&amp;$S63&amp;$T63&amp;$U63&amp;$V63&amp;$X63&amp;$Y63&amp;$Z63&amp;$AA63,2)-2^16),2,16),""),ABS(16-S$5),1))</f>
        <v>0</v>
      </c>
      <c r="T64" s="8" t="str">
        <f t="shared" ref="T64" si="265">IF(T$5="",".",MID(IF($I63=1,_xlfn.BASE(ABS(_xlfn.DECIMAL($I63&amp;$J63&amp;$K63&amp;$L63&amp;$N63&amp;$O63&amp;$P63&amp;$Q63&amp;$S63&amp;$T63&amp;$U63&amp;$V63&amp;$X63&amp;$Y63&amp;$Z63&amp;$AA63,2)-2^16),2,16),""),ABS(16-T$5),1))</f>
        <v>0</v>
      </c>
      <c r="U64" s="8" t="str">
        <f t="shared" ref="U64" si="266">IF(U$5="",".",MID(IF($I63=1,_xlfn.BASE(ABS(_xlfn.DECIMAL($I63&amp;$J63&amp;$K63&amp;$L63&amp;$N63&amp;$O63&amp;$P63&amp;$Q63&amp;$S63&amp;$T63&amp;$U63&amp;$V63&amp;$X63&amp;$Y63&amp;$Z63&amp;$AA63,2)-2^16),2,16),""),ABS(16-U$5),1))</f>
        <v>0</v>
      </c>
      <c r="V64" s="8" t="str">
        <f t="shared" ref="V64" si="267">IF(V$5="",".",MID(IF($I63=1,_xlfn.BASE(ABS(_xlfn.DECIMAL($I63&amp;$J63&amp;$K63&amp;$L63&amp;$N63&amp;$O63&amp;$P63&amp;$Q63&amp;$S63&amp;$T63&amp;$U63&amp;$V63&amp;$X63&amp;$Y63&amp;$Z63&amp;$AA63,2)-2^16),2,16),""),ABS(16-V$5),1))</f>
        <v>0</v>
      </c>
      <c r="W64" s="8" t="str">
        <f t="shared" ref="W64" si="268">IF(W$5="",".",MID(IF($I63=1,_xlfn.BASE(ABS(_xlfn.DECIMAL($I63&amp;$J63&amp;$K63&amp;$L63&amp;$N63&amp;$O63&amp;$P63&amp;$Q63&amp;$S63&amp;$T63&amp;$U63&amp;$V63&amp;$X63&amp;$Y63&amp;$Z63&amp;$AA63,2)-2^16),2,16),""),ABS(16-W$5),1))</f>
        <v>.</v>
      </c>
      <c r="X64" s="8" t="str">
        <f t="shared" ref="X64" si="269">IF(X$5="",".",MID(IF($I63=1,_xlfn.BASE(ABS(_xlfn.DECIMAL($I63&amp;$J63&amp;$K63&amp;$L63&amp;$N63&amp;$O63&amp;$P63&amp;$Q63&amp;$S63&amp;$T63&amp;$U63&amp;$V63&amp;$X63&amp;$Y63&amp;$Z63&amp;$AA63,2)-2^16),2,16),""),ABS(16-X$5),1))</f>
        <v>0</v>
      </c>
      <c r="Y64" s="8" t="str">
        <f t="shared" ref="Y64" si="270">IF(Y$5="",".",MID(IF($I63=1,_xlfn.BASE(ABS(_xlfn.DECIMAL($I63&amp;$J63&amp;$K63&amp;$L63&amp;$N63&amp;$O63&amp;$P63&amp;$Q63&amp;$S63&amp;$T63&amp;$U63&amp;$V63&amp;$X63&amp;$Y63&amp;$Z63&amp;$AA63,2)-2^16),2,16),""),ABS(16-Y$5),1))</f>
        <v>0</v>
      </c>
      <c r="Z64" s="8" t="str">
        <f t="shared" ref="Z64" si="271">IF(Z$5="",".",MID(IF($I63=1,_xlfn.BASE(ABS(_xlfn.DECIMAL($I63&amp;$J63&amp;$K63&amp;$L63&amp;$N63&amp;$O63&amp;$P63&amp;$Q63&amp;$S63&amp;$T63&amp;$U63&amp;$V63&amp;$X63&amp;$Y63&amp;$Z63&amp;$AA63,2)-2^16),2,16),""),ABS(16-Z$5),1))</f>
        <v>1</v>
      </c>
      <c r="AA64" s="8" t="str">
        <f t="shared" ref="AA64" si="272">IF(AA$5="",".",MID(IF($I63=1,_xlfn.BASE(ABS(_xlfn.DECIMAL($I63&amp;$J63&amp;$K63&amp;$L63&amp;$N63&amp;$O63&amp;$P63&amp;$Q63&amp;$S63&amp;$T63&amp;$U63&amp;$V63&amp;$X63&amp;$Y63&amp;$Z63&amp;$AA63,2)-2^16),2,16),""),ABS(16-AA$5),1))</f>
        <v>0</v>
      </c>
    </row>
    <row r="65" spans="6:35" x14ac:dyDescent="0.3">
      <c r="I65" t="s">
        <v>11</v>
      </c>
      <c r="J65" s="8">
        <f>I60</f>
        <v>0</v>
      </c>
      <c r="L65" t="s">
        <v>12</v>
      </c>
      <c r="M65" s="8">
        <f>MOD(S63+T63+U63+V63+X63+Y63+Z63+AA63,2)</f>
        <v>1</v>
      </c>
      <c r="O65" t="s">
        <v>13</v>
      </c>
      <c r="P65" s="8">
        <f>X60</f>
        <v>0</v>
      </c>
      <c r="R65" t="s">
        <v>14</v>
      </c>
      <c r="S65" s="8">
        <f>IF(AC63=0,1,0)</f>
        <v>0</v>
      </c>
      <c r="U65" t="s">
        <v>16</v>
      </c>
      <c r="V65" s="8">
        <f>I63</f>
        <v>1</v>
      </c>
      <c r="X65" t="s">
        <v>15</v>
      </c>
      <c r="Y65" s="8">
        <f>MOD(J60+I60,2)</f>
        <v>0</v>
      </c>
    </row>
    <row r="68" spans="6:35" x14ac:dyDescent="0.3">
      <c r="G68" s="8" t="s">
        <v>6</v>
      </c>
      <c r="I68" s="8">
        <f>IF(I69=".",J68,IF((J68+I69+I70) &gt;= 2,1,0))</f>
        <v>1</v>
      </c>
      <c r="J68" s="8">
        <f t="shared" ref="J68" si="273">IF(J69=".",K68,IF((K68+J69+J70) &gt;= 2,1,0))</f>
        <v>1</v>
      </c>
      <c r="K68" s="8">
        <f t="shared" ref="K68" si="274">IF(K69=".",L68,IF((L68+K69+K70) &gt;= 2,1,0))</f>
        <v>0</v>
      </c>
      <c r="L68" s="8">
        <f t="shared" ref="L68" si="275">IF(L69=".",M68,IF((M68+L69+L70) &gt;= 2,1,0))</f>
        <v>0</v>
      </c>
      <c r="M68" s="8">
        <f t="shared" ref="M68" si="276">IF(M69=".",N68,IF((N68+M69+M70) &gt;= 2,1,0))</f>
        <v>0</v>
      </c>
      <c r="N68" s="8">
        <f t="shared" ref="N68" si="277">IF(N69=".",O68,IF((O68+N69+N70) &gt;= 2,1,0))</f>
        <v>0</v>
      </c>
      <c r="O68" s="8">
        <f t="shared" ref="O68" si="278">IF(O69=".",P68,IF((P68+O69+O70) &gt;= 2,1,0))</f>
        <v>0</v>
      </c>
      <c r="P68" s="8">
        <f t="shared" ref="P68" si="279">IF(P69=".",Q68,IF((Q68+P69+P70) &gt;= 2,1,0))</f>
        <v>0</v>
      </c>
      <c r="Q68" s="8">
        <f t="shared" ref="Q68" si="280">IF(Q69=".",R68,IF((R68+Q69+Q70) &gt;= 2,1,0))</f>
        <v>1</v>
      </c>
      <c r="R68" s="8">
        <f t="shared" ref="R68" si="281">IF(R69=".",S68,IF((S68+R69+R70) &gt;= 2,1,0))</f>
        <v>1</v>
      </c>
      <c r="S68" s="8">
        <f t="shared" ref="S68" si="282">IF(S69=".",T68,IF((T68+S69+S70) &gt;= 2,1,0))</f>
        <v>1</v>
      </c>
      <c r="T68" s="8">
        <f t="shared" ref="T68" si="283">IF(T69=".",U68,IF((U68+T69+T70) &gt;= 2,1,0))</f>
        <v>1</v>
      </c>
      <c r="U68" s="8">
        <f t="shared" ref="U68" si="284">IF(U69=".",V68,IF((V68+U69+U70) &gt;= 2,1,0))</f>
        <v>1</v>
      </c>
      <c r="V68" s="8">
        <f t="shared" ref="V68" si="285">IF(V69=".",W68,IF((W68+V69+V70) &gt;= 2,1,0))</f>
        <v>1</v>
      </c>
      <c r="W68" s="8">
        <f t="shared" ref="W68" si="286">IF(W69=".",X68,IF((X68+W69+W70) &gt;= 2,1,0))</f>
        <v>1</v>
      </c>
      <c r="X68" s="8">
        <f t="shared" ref="X68" si="287">IF(X69=".",Y68,IF((Y68+X69+X70) &gt;= 2,1,0))</f>
        <v>1</v>
      </c>
      <c r="Y68" s="8">
        <f t="shared" ref="Y68" si="288">IF(Y69=".",Z68,IF((Z68+Y69+Y70) &gt;= 2,1,0))</f>
        <v>1</v>
      </c>
      <c r="Z68" s="8">
        <f>IF(Z69=".",AA68,IF((AA68+Z69+Z70) &gt;= 2,1,0))</f>
        <v>1</v>
      </c>
      <c r="AA68" s="8">
        <f>IF(AA69=".",AB68,IF((AB68+AA69+AA70) &gt;= 2,1,0))</f>
        <v>0</v>
      </c>
    </row>
    <row r="69" spans="6:35" x14ac:dyDescent="0.3">
      <c r="F69" s="22" t="s">
        <v>23</v>
      </c>
      <c r="G69" s="8" t="s">
        <v>75</v>
      </c>
      <c r="I69" s="9" t="str">
        <f>I16</f>
        <v>1</v>
      </c>
      <c r="J69" s="9" t="str">
        <f t="shared" ref="J69:AA69" si="289">J16</f>
        <v>1</v>
      </c>
      <c r="K69" s="9" t="str">
        <f t="shared" si="289"/>
        <v>1</v>
      </c>
      <c r="L69" s="9" t="str">
        <f t="shared" si="289"/>
        <v>0</v>
      </c>
      <c r="M69" s="9" t="str">
        <f t="shared" si="289"/>
        <v>.</v>
      </c>
      <c r="N69" s="9" t="str">
        <f t="shared" si="289"/>
        <v>0</v>
      </c>
      <c r="O69" s="9" t="str">
        <f t="shared" si="289"/>
        <v>0</v>
      </c>
      <c r="P69" s="9" t="str">
        <f t="shared" si="289"/>
        <v>0</v>
      </c>
      <c r="Q69" s="9" t="str">
        <f t="shared" si="289"/>
        <v>1</v>
      </c>
      <c r="R69" s="9" t="str">
        <f t="shared" si="289"/>
        <v>.</v>
      </c>
      <c r="S69" s="9" t="str">
        <f t="shared" si="289"/>
        <v>1</v>
      </c>
      <c r="T69" s="9" t="str">
        <f t="shared" si="289"/>
        <v>1</v>
      </c>
      <c r="U69" s="9" t="str">
        <f t="shared" si="289"/>
        <v>1</v>
      </c>
      <c r="V69" s="9" t="str">
        <f t="shared" si="289"/>
        <v>1</v>
      </c>
      <c r="W69" s="9" t="str">
        <f t="shared" si="289"/>
        <v>.</v>
      </c>
      <c r="X69" s="9" t="str">
        <f t="shared" si="289"/>
        <v>1</v>
      </c>
      <c r="Y69" s="9" t="str">
        <f t="shared" si="289"/>
        <v>1</v>
      </c>
      <c r="Z69" s="9" t="str">
        <f t="shared" si="289"/>
        <v>1</v>
      </c>
      <c r="AA69" s="9" t="str">
        <f t="shared" si="289"/>
        <v>0</v>
      </c>
      <c r="AB69" s="19" t="s">
        <v>5</v>
      </c>
      <c r="AE69" s="22" t="s">
        <v>23</v>
      </c>
      <c r="AF69" s="7" t="s">
        <v>76</v>
      </c>
      <c r="AG69">
        <f>D16</f>
        <v>-7682</v>
      </c>
      <c r="AH69" s="19" t="s">
        <v>7</v>
      </c>
    </row>
    <row r="70" spans="6:35" ht="15" thickBot="1" x14ac:dyDescent="0.35">
      <c r="F70" s="22"/>
      <c r="G70" s="8" t="s">
        <v>67</v>
      </c>
      <c r="I70" s="14" t="str">
        <f>I8</f>
        <v>0</v>
      </c>
      <c r="J70" s="14" t="str">
        <f t="shared" ref="J70:AA70" si="290">J8</f>
        <v>1</v>
      </c>
      <c r="K70" s="14" t="str">
        <f t="shared" si="290"/>
        <v>0</v>
      </c>
      <c r="L70" s="14" t="str">
        <f t="shared" si="290"/>
        <v>1</v>
      </c>
      <c r="M70" s="14" t="str">
        <f t="shared" si="290"/>
        <v>.</v>
      </c>
      <c r="N70" s="14" t="str">
        <f t="shared" si="290"/>
        <v>0</v>
      </c>
      <c r="O70" s="14" t="str">
        <f t="shared" si="290"/>
        <v>0</v>
      </c>
      <c r="P70" s="14" t="str">
        <f t="shared" si="290"/>
        <v>0</v>
      </c>
      <c r="Q70" s="14" t="str">
        <f t="shared" si="290"/>
        <v>0</v>
      </c>
      <c r="R70" s="14" t="str">
        <f t="shared" si="290"/>
        <v>.</v>
      </c>
      <c r="S70" s="14" t="str">
        <f t="shared" si="290"/>
        <v>1</v>
      </c>
      <c r="T70" s="14" t="str">
        <f t="shared" si="290"/>
        <v>1</v>
      </c>
      <c r="U70" s="14" t="str">
        <f t="shared" si="290"/>
        <v>1</v>
      </c>
      <c r="V70" s="14" t="str">
        <f t="shared" si="290"/>
        <v>0</v>
      </c>
      <c r="W70" s="14" t="str">
        <f t="shared" si="290"/>
        <v>.</v>
      </c>
      <c r="X70" s="14" t="str">
        <f t="shared" si="290"/>
        <v>1</v>
      </c>
      <c r="Y70" s="14" t="str">
        <f t="shared" si="290"/>
        <v>1</v>
      </c>
      <c r="Z70" s="14" t="str">
        <f t="shared" si="290"/>
        <v>1</v>
      </c>
      <c r="AA70" s="14" t="str">
        <f t="shared" si="290"/>
        <v>0</v>
      </c>
      <c r="AB70" s="19" t="s">
        <v>5</v>
      </c>
      <c r="AE70" s="22"/>
      <c r="AF70" s="17" t="s">
        <v>68</v>
      </c>
      <c r="AG70" s="16">
        <f>D8</f>
        <v>20718</v>
      </c>
      <c r="AH70" s="19" t="s">
        <v>7</v>
      </c>
    </row>
    <row r="71" spans="6:35" x14ac:dyDescent="0.3">
      <c r="G71" s="8" t="s">
        <v>9</v>
      </c>
      <c r="I71" s="9">
        <f t="shared" ref="I71" si="291">IF(I70=".",".",MOD(I70+I69+J68,2))</f>
        <v>0</v>
      </c>
      <c r="J71" s="9">
        <f t="shared" ref="J71" si="292">IF(J70=".",".",MOD(J70+J69+K68,2))</f>
        <v>0</v>
      </c>
      <c r="K71" s="9">
        <f t="shared" ref="K71" si="293">IF(K70=".",".",MOD(K70+K69+L68,2))</f>
        <v>1</v>
      </c>
      <c r="L71" s="9">
        <f t="shared" ref="L71" si="294">IF(L70=".",".",MOD(L70+L69+M68,2))</f>
        <v>1</v>
      </c>
      <c r="M71" s="9" t="str">
        <f t="shared" ref="M71" si="295">IF(M70=".",".",MOD(M70+M69+N68,2))</f>
        <v>.</v>
      </c>
      <c r="N71" s="9">
        <f t="shared" ref="N71" si="296">IF(N70=".",".",MOD(N70+N69+O68,2))</f>
        <v>0</v>
      </c>
      <c r="O71" s="9">
        <f t="shared" ref="O71" si="297">IF(O70=".",".",MOD(O70+O69+P68,2))</f>
        <v>0</v>
      </c>
      <c r="P71" s="9">
        <f t="shared" ref="P71" si="298">IF(P70=".",".",MOD(P70+P69+Q68,2))</f>
        <v>1</v>
      </c>
      <c r="Q71" s="9">
        <f t="shared" ref="Q71" si="299">IF(Q70=".",".",MOD(Q70+Q69+R68,2))</f>
        <v>0</v>
      </c>
      <c r="R71" s="9" t="str">
        <f t="shared" ref="R71" si="300">IF(R70=".",".",MOD(R70+R69+S68,2))</f>
        <v>.</v>
      </c>
      <c r="S71" s="9">
        <f t="shared" ref="S71" si="301">IF(S70=".",".",MOD(S70+S69+T68,2))</f>
        <v>1</v>
      </c>
      <c r="T71" s="9">
        <f t="shared" ref="T71" si="302">IF(T70=".",".",MOD(T70+T69+U68,2))</f>
        <v>1</v>
      </c>
      <c r="U71" s="9">
        <f t="shared" ref="U71" si="303">IF(U70=".",".",MOD(U70+U69+V68,2))</f>
        <v>1</v>
      </c>
      <c r="V71" s="9">
        <f t="shared" ref="V71" si="304">IF(V70=".",".",MOD(V70+V69+W68,2))</f>
        <v>0</v>
      </c>
      <c r="W71" s="9" t="str">
        <f t="shared" ref="W71" si="305">IF(W70=".",".",MOD(W70+W69+X68,2))</f>
        <v>.</v>
      </c>
      <c r="X71" s="9">
        <f t="shared" ref="X71" si="306">IF(X70=".",".",MOD(X70+X69+Y68,2))</f>
        <v>1</v>
      </c>
      <c r="Y71" s="9">
        <f t="shared" ref="Y71" si="307">IF(Y70=".",".",MOD(Y70+Y69+Z68,2))</f>
        <v>1</v>
      </c>
      <c r="Z71" s="9">
        <f t="shared" ref="Z71" si="308">IF(Z70=".",".",MOD(Z70+Z69+AA68,2))</f>
        <v>0</v>
      </c>
      <c r="AA71" s="9">
        <f>IF(AA70=".",".",MOD(AA70+AA69+AB68,2))</f>
        <v>0</v>
      </c>
      <c r="AB71" s="11" t="s">
        <v>8</v>
      </c>
      <c r="AC71">
        <f>IF(I71=0,_xlfn.DECIMAL(I71&amp;J71&amp;K71&amp;L71&amp;N71&amp;O71&amp;P71&amp;Q71&amp;S71&amp;T71&amp;U71&amp;V71&amp;X71&amp;Y71&amp;Z71&amp;AA71,2),(-1)*_xlfn.DECIMAL(I72&amp;J72&amp;K72&amp;L72&amp;N72&amp;O72&amp;P72&amp;Q72&amp;S72&amp;T72&amp;U72&amp;V72&amp;X72&amp;Y72&amp;Z72&amp;AA72,2))</f>
        <v>13036</v>
      </c>
      <c r="AD71" s="19" t="s">
        <v>7</v>
      </c>
      <c r="AE71" s="19"/>
      <c r="AG71">
        <f>AG69+AG70</f>
        <v>13036</v>
      </c>
      <c r="AH71" s="19" t="s">
        <v>7</v>
      </c>
      <c r="AI71" t="str">
        <f>IF(AND(AC71=AG71,AC71&gt;=0,J73=0,AG69&gt;=0,AG70&gt;=0),$AL$6,IF(AND(OR(AND(AG69&gt;=0,AG70&lt;0),AND(AG69&lt;0,AG70&gt;=0)),AC71=AG71),$AL$8,IF(AND(AG69&gt;=0,AG70&gt;=0,Y73=1,AC71&lt;&gt;AG71),$AL$7,IF(AND(AG69&lt;0,AG70&lt;0,AC71&gt;=0,Y73=1),$AL$9,IF(AND(AG69&lt;0,AG70&lt;0,AC71=AG71),$AL$10,"Ошибка с входными данными")))))</f>
        <v>В ходе операции сложения неотрицательного и отрицательного чисел был получен корректный результат. При том перенос за разрядную сетку не учитывается</v>
      </c>
    </row>
    <row r="72" spans="6:35" x14ac:dyDescent="0.3">
      <c r="G72" s="8" t="s">
        <v>10</v>
      </c>
      <c r="I72" s="8" t="str">
        <f>IF(I$5="",".",MID(IF($I71=1,_xlfn.BASE(ABS(_xlfn.DECIMAL($I71&amp;$J71&amp;$K71&amp;$L71&amp;$N71&amp;$O71&amp;$P71&amp;$Q71&amp;$S71&amp;$T71&amp;$U71&amp;$V71&amp;$X71&amp;$Y71&amp;$Z71&amp;$AA71,2)-2^16),2,16),""),ABS(16-I$5),1))</f>
        <v/>
      </c>
      <c r="J72" s="8" t="str">
        <f t="shared" ref="J72" si="309">IF(J$5="",".",MID(IF($I71=1,_xlfn.BASE(ABS(_xlfn.DECIMAL($I71&amp;$J71&amp;$K71&amp;$L71&amp;$N71&amp;$O71&amp;$P71&amp;$Q71&amp;$S71&amp;$T71&amp;$U71&amp;$V71&amp;$X71&amp;$Y71&amp;$Z71&amp;$AA71,2)-2^16),2,16),""),ABS(16-J$5),1))</f>
        <v/>
      </c>
      <c r="K72" s="8" t="str">
        <f t="shared" ref="K72" si="310">IF(K$5="",".",MID(IF($I71=1,_xlfn.BASE(ABS(_xlfn.DECIMAL($I71&amp;$J71&amp;$K71&amp;$L71&amp;$N71&amp;$O71&amp;$P71&amp;$Q71&amp;$S71&amp;$T71&amp;$U71&amp;$V71&amp;$X71&amp;$Y71&amp;$Z71&amp;$AA71,2)-2^16),2,16),""),ABS(16-K$5),1))</f>
        <v/>
      </c>
      <c r="L72" s="8" t="str">
        <f t="shared" ref="L72" si="311">IF(L$5="",".",MID(IF($I71=1,_xlfn.BASE(ABS(_xlfn.DECIMAL($I71&amp;$J71&amp;$K71&amp;$L71&amp;$N71&amp;$O71&amp;$P71&amp;$Q71&amp;$S71&amp;$T71&amp;$U71&amp;$V71&amp;$X71&amp;$Y71&amp;$Z71&amp;$AA71,2)-2^16),2,16),""),ABS(16-L$5),1))</f>
        <v/>
      </c>
      <c r="M72" s="8" t="str">
        <f t="shared" ref="M72" si="312">IF(M$5="",".",MID(IF($I71=1,_xlfn.BASE(ABS(_xlfn.DECIMAL($I71&amp;$J71&amp;$K71&amp;$L71&amp;$N71&amp;$O71&amp;$P71&amp;$Q71&amp;$S71&amp;$T71&amp;$U71&amp;$V71&amp;$X71&amp;$Y71&amp;$Z71&amp;$AA71,2)-2^16),2,16),""),ABS(16-M$5),1))</f>
        <v>.</v>
      </c>
      <c r="N72" s="8" t="str">
        <f t="shared" ref="N72" si="313">IF(N$5="",".",MID(IF($I71=1,_xlfn.BASE(ABS(_xlfn.DECIMAL($I71&amp;$J71&amp;$K71&amp;$L71&amp;$N71&amp;$O71&amp;$P71&amp;$Q71&amp;$S71&amp;$T71&amp;$U71&amp;$V71&amp;$X71&amp;$Y71&amp;$Z71&amp;$AA71,2)-2^16),2,16),""),ABS(16-N$5),1))</f>
        <v/>
      </c>
      <c r="O72" s="8" t="str">
        <f t="shared" ref="O72" si="314">IF(O$5="",".",MID(IF($I71=1,_xlfn.BASE(ABS(_xlfn.DECIMAL($I71&amp;$J71&amp;$K71&amp;$L71&amp;$N71&amp;$O71&amp;$P71&amp;$Q71&amp;$S71&amp;$T71&amp;$U71&amp;$V71&amp;$X71&amp;$Y71&amp;$Z71&amp;$AA71,2)-2^16),2,16),""),ABS(16-O$5),1))</f>
        <v/>
      </c>
      <c r="P72" s="8" t="str">
        <f t="shared" ref="P72" si="315">IF(P$5="",".",MID(IF($I71=1,_xlfn.BASE(ABS(_xlfn.DECIMAL($I71&amp;$J71&amp;$K71&amp;$L71&amp;$N71&amp;$O71&amp;$P71&amp;$Q71&amp;$S71&amp;$T71&amp;$U71&amp;$V71&amp;$X71&amp;$Y71&amp;$Z71&amp;$AA71,2)-2^16),2,16),""),ABS(16-P$5),1))</f>
        <v/>
      </c>
      <c r="Q72" s="8" t="str">
        <f>IF(Q$5="",".",MID(IF($I71=1,_xlfn.BASE(ABS(_xlfn.DECIMAL($I71&amp;$J71&amp;$K71&amp;$L71&amp;$N71&amp;$O71&amp;$P71&amp;$Q71&amp;$S71&amp;$T71&amp;$U71&amp;$V71&amp;$X71&amp;$Y71&amp;$Z71&amp;$AA71,2)-2^16),2,16),""),ABS(16-Q$5),1))</f>
        <v/>
      </c>
      <c r="R72" s="8" t="str">
        <f t="shared" ref="R72" si="316">IF(R$5="",".",MID(IF($I71=1,_xlfn.BASE(ABS(_xlfn.DECIMAL($I71&amp;$J71&amp;$K71&amp;$L71&amp;$N71&amp;$O71&amp;$P71&amp;$Q71&amp;$S71&amp;$T71&amp;$U71&amp;$V71&amp;$X71&amp;$Y71&amp;$Z71&amp;$AA71,2)-2^16),2,16),""),ABS(16-R$5),1))</f>
        <v>.</v>
      </c>
      <c r="S72" s="8" t="str">
        <f t="shared" ref="S72" si="317">IF(S$5="",".",MID(IF($I71=1,_xlfn.BASE(ABS(_xlfn.DECIMAL($I71&amp;$J71&amp;$K71&amp;$L71&amp;$N71&amp;$O71&amp;$P71&amp;$Q71&amp;$S71&amp;$T71&amp;$U71&amp;$V71&amp;$X71&amp;$Y71&amp;$Z71&amp;$AA71,2)-2^16),2,16),""),ABS(16-S$5),1))</f>
        <v/>
      </c>
      <c r="T72" s="8" t="str">
        <f t="shared" ref="T72" si="318">IF(T$5="",".",MID(IF($I71=1,_xlfn.BASE(ABS(_xlfn.DECIMAL($I71&amp;$J71&amp;$K71&amp;$L71&amp;$N71&amp;$O71&amp;$P71&amp;$Q71&amp;$S71&amp;$T71&amp;$U71&amp;$V71&amp;$X71&amp;$Y71&amp;$Z71&amp;$AA71,2)-2^16),2,16),""),ABS(16-T$5),1))</f>
        <v/>
      </c>
      <c r="U72" s="8" t="str">
        <f t="shared" ref="U72" si="319">IF(U$5="",".",MID(IF($I71=1,_xlfn.BASE(ABS(_xlfn.DECIMAL($I71&amp;$J71&amp;$K71&amp;$L71&amp;$N71&amp;$O71&amp;$P71&amp;$Q71&amp;$S71&amp;$T71&amp;$U71&amp;$V71&amp;$X71&amp;$Y71&amp;$Z71&amp;$AA71,2)-2^16),2,16),""),ABS(16-U$5),1))</f>
        <v/>
      </c>
      <c r="V72" s="8" t="str">
        <f t="shared" ref="V72" si="320">IF(V$5="",".",MID(IF($I71=1,_xlfn.BASE(ABS(_xlfn.DECIMAL($I71&amp;$J71&amp;$K71&amp;$L71&amp;$N71&amp;$O71&amp;$P71&amp;$Q71&amp;$S71&amp;$T71&amp;$U71&amp;$V71&amp;$X71&amp;$Y71&amp;$Z71&amp;$AA71,2)-2^16),2,16),""),ABS(16-V$5),1))</f>
        <v/>
      </c>
      <c r="W72" s="8" t="str">
        <f t="shared" ref="W72" si="321">IF(W$5="",".",MID(IF($I71=1,_xlfn.BASE(ABS(_xlfn.DECIMAL($I71&amp;$J71&amp;$K71&amp;$L71&amp;$N71&amp;$O71&amp;$P71&amp;$Q71&amp;$S71&amp;$T71&amp;$U71&amp;$V71&amp;$X71&amp;$Y71&amp;$Z71&amp;$AA71,2)-2^16),2,16),""),ABS(16-W$5),1))</f>
        <v>.</v>
      </c>
      <c r="X72" s="8" t="str">
        <f t="shared" ref="X72" si="322">IF(X$5="",".",MID(IF($I71=1,_xlfn.BASE(ABS(_xlfn.DECIMAL($I71&amp;$J71&amp;$K71&amp;$L71&amp;$N71&amp;$O71&amp;$P71&amp;$Q71&amp;$S71&amp;$T71&amp;$U71&amp;$V71&amp;$X71&amp;$Y71&amp;$Z71&amp;$AA71,2)-2^16),2,16),""),ABS(16-X$5),1))</f>
        <v/>
      </c>
      <c r="Y72" s="8" t="str">
        <f t="shared" ref="Y72" si="323">IF(Y$5="",".",MID(IF($I71=1,_xlfn.BASE(ABS(_xlfn.DECIMAL($I71&amp;$J71&amp;$K71&amp;$L71&amp;$N71&amp;$O71&amp;$P71&amp;$Q71&amp;$S71&amp;$T71&amp;$U71&amp;$V71&amp;$X71&amp;$Y71&amp;$Z71&amp;$AA71,2)-2^16),2,16),""),ABS(16-Y$5),1))</f>
        <v/>
      </c>
      <c r="Z72" s="8" t="str">
        <f t="shared" ref="Z72" si="324">IF(Z$5="",".",MID(IF($I71=1,_xlfn.BASE(ABS(_xlfn.DECIMAL($I71&amp;$J71&amp;$K71&amp;$L71&amp;$N71&amp;$O71&amp;$P71&amp;$Q71&amp;$S71&amp;$T71&amp;$U71&amp;$V71&amp;$X71&amp;$Y71&amp;$Z71&amp;$AA71,2)-2^16),2,16),""),ABS(16-Z$5),1))</f>
        <v/>
      </c>
      <c r="AA72" s="8" t="str">
        <f t="shared" ref="AA72" si="325">IF(AA$5="",".",MID(IF($I71=1,_xlfn.BASE(ABS(_xlfn.DECIMAL($I71&amp;$J71&amp;$K71&amp;$L71&amp;$N71&amp;$O71&amp;$P71&amp;$Q71&amp;$S71&amp;$T71&amp;$U71&amp;$V71&amp;$X71&amp;$Y71&amp;$Z71&amp;$AA71,2)-2^16),2,16),""),ABS(16-AA$5),1))</f>
        <v/>
      </c>
    </row>
    <row r="73" spans="6:35" x14ac:dyDescent="0.3">
      <c r="I73" t="s">
        <v>11</v>
      </c>
      <c r="J73" s="8">
        <f>I68</f>
        <v>1</v>
      </c>
      <c r="L73" t="s">
        <v>12</v>
      </c>
      <c r="M73" s="8">
        <f>MOD(S71+T71+U71+V71+X71+Y71+Z71+AA71,2)</f>
        <v>1</v>
      </c>
      <c r="O73" t="s">
        <v>13</v>
      </c>
      <c r="P73" s="8">
        <f>X68</f>
        <v>1</v>
      </c>
      <c r="R73" t="s">
        <v>14</v>
      </c>
      <c r="S73" s="8">
        <f>IF(AC71=0,1,0)</f>
        <v>0</v>
      </c>
      <c r="U73" t="s">
        <v>16</v>
      </c>
      <c r="V73" s="8">
        <f>I71</f>
        <v>0</v>
      </c>
      <c r="X73" t="s">
        <v>15</v>
      </c>
      <c r="Y73" s="8">
        <f>MOD(J68+I68,2)</f>
        <v>0</v>
      </c>
    </row>
  </sheetData>
  <mergeCells count="14">
    <mergeCell ref="AE69:AE70"/>
    <mergeCell ref="F21:F22"/>
    <mergeCell ref="F29:F30"/>
    <mergeCell ref="F37:F38"/>
    <mergeCell ref="F45:F46"/>
    <mergeCell ref="F53:F54"/>
    <mergeCell ref="F61:F62"/>
    <mergeCell ref="F69:F70"/>
    <mergeCell ref="AE21:AE22"/>
    <mergeCell ref="AE29:AE30"/>
    <mergeCell ref="AE37:AE38"/>
    <mergeCell ref="AE45:AE46"/>
    <mergeCell ref="AE53:AE54"/>
    <mergeCell ref="AE61:AE6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lab5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Blue Square</dc:creator>
  <cp:lastModifiedBy>Васидов Мухаммадсаид Абдуфаттохович</cp:lastModifiedBy>
  <dcterms:created xsi:type="dcterms:W3CDTF">2025-11-12T17:39:22Z</dcterms:created>
  <dcterms:modified xsi:type="dcterms:W3CDTF">2025-12-04T08:57:29Z</dcterms:modified>
</cp:coreProperties>
</file>